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ink/ink2.xml" ContentType="application/inkml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indows.old\Users\bruno\Desktop\"/>
    </mc:Choice>
  </mc:AlternateContent>
  <xr:revisionPtr revIDLastSave="0" documentId="13_ncr:1_{BBF732CB-0D43-4FC7-96FB-F1BA0A4C9A5E}" xr6:coauthVersionLast="34" xr6:coauthVersionMax="34" xr10:uidLastSave="{00000000-0000-0000-0000-000000000000}"/>
  <bookViews>
    <workbookView xWindow="0" yWindow="0" windowWidth="20400" windowHeight="9195" firstSheet="1" activeTab="4" xr2:uid="{00000000-000D-0000-FFFF-FFFF00000000}"/>
  </bookViews>
  <sheets>
    <sheet name="grafico_combinado_exemplo" sheetId="4" r:id="rId1"/>
    <sheet name="grafico_combinado_e" sheetId="3" r:id="rId2"/>
    <sheet name="pizza_exemplo" sheetId="2" r:id="rId3"/>
    <sheet name="transformada_exemplo (2)" sheetId="7" r:id="rId4"/>
    <sheet name="transformada_exercicio" sheetId="6" r:id="rId5"/>
    <sheet name="Sheet2" sheetId="9" r:id="rId6"/>
  </sheets>
  <definedNames>
    <definedName name="solver_eng" localSheetId="3" hidden="1">1</definedName>
    <definedName name="solver_eng" localSheetId="4" hidden="1">1</definedName>
    <definedName name="solver_neg" localSheetId="3" hidden="1">1</definedName>
    <definedName name="solver_neg" localSheetId="4" hidden="1">1</definedName>
    <definedName name="solver_num" localSheetId="3" hidden="1">0</definedName>
    <definedName name="solver_num" localSheetId="4" hidden="1">0</definedName>
    <definedName name="solver_opt" localSheetId="3" hidden="1">'transformada_exemplo (2)'!$F$16</definedName>
    <definedName name="solver_opt" localSheetId="4" hidden="1">transformada_exercicio!$F$16</definedName>
    <definedName name="solver_typ" localSheetId="3" hidden="1">1</definedName>
    <definedName name="solver_typ" localSheetId="4" hidden="1">1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2" i="7" l="1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H27" i="7"/>
  <c r="H8" i="7"/>
  <c r="H25" i="7"/>
  <c r="H26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9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8" i="7"/>
  <c r="B10" i="7" l="1"/>
  <c r="C10" i="7" s="1"/>
  <c r="B11" i="7"/>
  <c r="C11" i="7" s="1"/>
  <c r="B12" i="7"/>
  <c r="C12" i="7" s="1"/>
  <c r="B13" i="7"/>
  <c r="C13" i="7" s="1"/>
  <c r="B14" i="7"/>
  <c r="C14" i="7" s="1"/>
  <c r="B15" i="7"/>
  <c r="C15" i="7" s="1"/>
  <c r="B16" i="7"/>
  <c r="C16" i="7" s="1"/>
  <c r="B17" i="7"/>
  <c r="C17" i="7" s="1"/>
  <c r="B18" i="7"/>
  <c r="C18" i="7" s="1"/>
  <c r="B19" i="7"/>
  <c r="C19" i="7" s="1"/>
  <c r="B20" i="7"/>
  <c r="C20" i="7" s="1"/>
  <c r="B21" i="7"/>
  <c r="C21" i="7" s="1"/>
  <c r="B22" i="7"/>
  <c r="C22" i="7" s="1"/>
  <c r="B23" i="7"/>
  <c r="C23" i="7" s="1"/>
  <c r="B24" i="7"/>
  <c r="C24" i="7" s="1"/>
  <c r="B25" i="7"/>
  <c r="C25" i="7" s="1"/>
  <c r="B26" i="7"/>
  <c r="C26" i="7" s="1"/>
  <c r="B27" i="7"/>
  <c r="C27" i="7" s="1"/>
  <c r="B28" i="7"/>
  <c r="C28" i="7" s="1"/>
  <c r="B29" i="7"/>
  <c r="C29" i="7" s="1"/>
  <c r="B30" i="7"/>
  <c r="C30" i="7" s="1"/>
  <c r="B31" i="7"/>
  <c r="C31" i="7" s="1"/>
  <c r="B32" i="7"/>
  <c r="C32" i="7" s="1"/>
  <c r="B33" i="7"/>
  <c r="C33" i="7" s="1"/>
  <c r="B34" i="7"/>
  <c r="C34" i="7" s="1"/>
  <c r="B35" i="7"/>
  <c r="C35" i="7" s="1"/>
  <c r="B36" i="7"/>
  <c r="C36" i="7" s="1"/>
  <c r="B37" i="7"/>
  <c r="C37" i="7" s="1"/>
  <c r="B38" i="7"/>
  <c r="C38" i="7" s="1"/>
  <c r="B39" i="7"/>
  <c r="C39" i="7" s="1"/>
  <c r="B40" i="7"/>
  <c r="C40" i="7" s="1"/>
  <c r="B41" i="7"/>
  <c r="C41" i="7" s="1"/>
  <c r="B42" i="7"/>
  <c r="C42" i="7" s="1"/>
  <c r="B43" i="7"/>
  <c r="C43" i="7" s="1"/>
  <c r="B44" i="7"/>
  <c r="C44" i="7" s="1"/>
  <c r="B45" i="7"/>
  <c r="C45" i="7" s="1"/>
  <c r="B46" i="7"/>
  <c r="C46" i="7" s="1"/>
  <c r="B47" i="7"/>
  <c r="C47" i="7" s="1"/>
  <c r="B48" i="7"/>
  <c r="C48" i="7" s="1"/>
  <c r="B49" i="7"/>
  <c r="C49" i="7" s="1"/>
  <c r="B50" i="7"/>
  <c r="C50" i="7" s="1"/>
  <c r="B51" i="7"/>
  <c r="C51" i="7" s="1"/>
  <c r="B52" i="7"/>
  <c r="C52" i="7" s="1"/>
  <c r="B53" i="7"/>
  <c r="C53" i="7" s="1"/>
  <c r="B54" i="7"/>
  <c r="C54" i="7" s="1"/>
  <c r="B55" i="7"/>
  <c r="C55" i="7" s="1"/>
  <c r="B56" i="7"/>
  <c r="C56" i="7" s="1"/>
  <c r="B57" i="7"/>
  <c r="C57" i="7" s="1"/>
  <c r="B58" i="7"/>
  <c r="C58" i="7" s="1"/>
  <c r="B59" i="7"/>
  <c r="C59" i="7" s="1"/>
  <c r="B60" i="7"/>
  <c r="C60" i="7" s="1"/>
  <c r="B61" i="7"/>
  <c r="C61" i="7" s="1"/>
  <c r="B62" i="7"/>
  <c r="C62" i="7" s="1"/>
  <c r="B63" i="7"/>
  <c r="C63" i="7" s="1"/>
  <c r="B64" i="7"/>
  <c r="C64" i="7" s="1"/>
  <c r="B65" i="7"/>
  <c r="C65" i="7" s="1"/>
  <c r="B66" i="7"/>
  <c r="C66" i="7" s="1"/>
  <c r="B67" i="7"/>
  <c r="C67" i="7" s="1"/>
  <c r="B68" i="7"/>
  <c r="C68" i="7" s="1"/>
  <c r="B69" i="7"/>
  <c r="C69" i="7" s="1"/>
  <c r="B70" i="7"/>
  <c r="C70" i="7" s="1"/>
  <c r="B71" i="7"/>
  <c r="C71" i="7" s="1"/>
  <c r="B9" i="7"/>
  <c r="C9" i="7" s="1"/>
  <c r="I108" i="7"/>
  <c r="I107" i="7"/>
  <c r="I106" i="7"/>
  <c r="I105" i="7"/>
  <c r="I104" i="7"/>
  <c r="I103" i="7"/>
  <c r="I102" i="7"/>
  <c r="I101" i="7"/>
  <c r="I100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81" i="7"/>
  <c r="I80" i="7"/>
  <c r="I79" i="7"/>
  <c r="I78" i="7"/>
  <c r="I77" i="7"/>
  <c r="I76" i="7"/>
  <c r="I75" i="7"/>
  <c r="I74" i="7"/>
  <c r="I73" i="7"/>
  <c r="I72" i="7"/>
  <c r="I71" i="7"/>
  <c r="I70" i="7"/>
  <c r="I69" i="7"/>
  <c r="I68" i="7"/>
  <c r="I67" i="7"/>
  <c r="I66" i="7"/>
  <c r="I65" i="7"/>
  <c r="I64" i="7"/>
  <c r="I63" i="7"/>
  <c r="I62" i="7"/>
  <c r="I61" i="7"/>
  <c r="I60" i="7"/>
  <c r="I59" i="7"/>
  <c r="I58" i="7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E5" i="7"/>
  <c r="K1" i="7"/>
  <c r="H1" i="7"/>
  <c r="A2" i="7" l="1"/>
  <c r="E9" i="7"/>
  <c r="E11" i="7"/>
  <c r="E13" i="7"/>
  <c r="E15" i="7"/>
  <c r="E17" i="7"/>
  <c r="E19" i="7"/>
  <c r="E21" i="7"/>
  <c r="E23" i="7"/>
  <c r="E25" i="7"/>
  <c r="E27" i="7"/>
  <c r="E29" i="7"/>
  <c r="E31" i="7"/>
  <c r="E33" i="7"/>
  <c r="E35" i="7"/>
  <c r="E37" i="7"/>
  <c r="E39" i="7"/>
  <c r="E41" i="7"/>
  <c r="E43" i="7"/>
  <c r="E45" i="7"/>
  <c r="E47" i="7"/>
  <c r="E49" i="7"/>
  <c r="E51" i="7"/>
  <c r="E53" i="7"/>
  <c r="E55" i="7"/>
  <c r="E57" i="7"/>
  <c r="E59" i="7"/>
  <c r="E61" i="7"/>
  <c r="E63" i="7"/>
  <c r="E65" i="7"/>
  <c r="E67" i="7"/>
  <c r="E69" i="7"/>
  <c r="E71" i="7"/>
  <c r="E73" i="7"/>
  <c r="E75" i="7"/>
  <c r="E77" i="7"/>
  <c r="E79" i="7"/>
  <c r="E81" i="7"/>
  <c r="E83" i="7"/>
  <c r="E85" i="7"/>
  <c r="E87" i="7"/>
  <c r="E89" i="7"/>
  <c r="E91" i="7"/>
  <c r="E93" i="7"/>
  <c r="E95" i="7"/>
  <c r="E97" i="7"/>
  <c r="E99" i="7"/>
  <c r="E101" i="7"/>
  <c r="E103" i="7"/>
  <c r="E105" i="7"/>
  <c r="E107" i="7"/>
  <c r="E10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E46" i="7"/>
  <c r="E48" i="7"/>
  <c r="E50" i="7"/>
  <c r="E52" i="7"/>
  <c r="E54" i="7"/>
  <c r="E56" i="7"/>
  <c r="E58" i="7"/>
  <c r="E60" i="7"/>
  <c r="E62" i="7"/>
  <c r="E64" i="7"/>
  <c r="E66" i="7"/>
  <c r="E68" i="7"/>
  <c r="E70" i="7"/>
  <c r="E72" i="7"/>
  <c r="E74" i="7"/>
  <c r="E76" i="7"/>
  <c r="E78" i="7"/>
  <c r="E80" i="7"/>
  <c r="E82" i="7"/>
  <c r="E84" i="7"/>
  <c r="E86" i="7"/>
  <c r="E88" i="7"/>
  <c r="E90" i="7"/>
  <c r="E92" i="7"/>
  <c r="E94" i="7"/>
  <c r="E96" i="7"/>
  <c r="E98" i="7"/>
  <c r="E100" i="7"/>
  <c r="E102" i="7"/>
  <c r="E104" i="7"/>
  <c r="E106" i="7"/>
  <c r="E108" i="7"/>
  <c r="H1" i="6"/>
  <c r="K1" i="6"/>
  <c r="F9" i="6"/>
  <c r="B9" i="6"/>
  <c r="C9" i="6" s="1"/>
  <c r="E5" i="6"/>
  <c r="C8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F8" i="6"/>
  <c r="E9" i="6" l="1"/>
  <c r="D3" i="3" l="1"/>
  <c r="D4" i="3"/>
  <c r="D5" i="3"/>
  <c r="D6" i="3"/>
  <c r="D7" i="3"/>
  <c r="D3" i="4"/>
  <c r="D4" i="4"/>
  <c r="D5" i="4"/>
  <c r="D6" i="4"/>
  <c r="D7" i="4"/>
</calcChain>
</file>

<file path=xl/sharedStrings.xml><?xml version="1.0" encoding="utf-8"?>
<sst xmlns="http://schemas.openxmlformats.org/spreadsheetml/2006/main" count="136" uniqueCount="99">
  <si>
    <t>Produtos</t>
  </si>
  <si>
    <t>tablet</t>
  </si>
  <si>
    <t>sensor</t>
  </si>
  <si>
    <t>camera</t>
  </si>
  <si>
    <t>televisão</t>
  </si>
  <si>
    <t>monitor</t>
  </si>
  <si>
    <t>custo</t>
  </si>
  <si>
    <t>Vendas</t>
  </si>
  <si>
    <t>lucro</t>
  </si>
  <si>
    <t>vendas</t>
  </si>
  <si>
    <t>dados</t>
  </si>
  <si>
    <t>FFt frequencia</t>
  </si>
  <si>
    <t>magnitude FFt</t>
  </si>
  <si>
    <t>0</t>
  </si>
  <si>
    <t>tempo total(s)</t>
  </si>
  <si>
    <t>number</t>
  </si>
  <si>
    <t>Magnitude(m)</t>
  </si>
  <si>
    <t>frequency(hz)</t>
  </si>
  <si>
    <t>A</t>
  </si>
  <si>
    <t>f</t>
  </si>
  <si>
    <r>
      <t xml:space="preserve"> </t>
    </r>
    <r>
      <rPr>
        <sz val="14"/>
        <color rgb="FFFF0000"/>
        <rFont val="Calibri"/>
        <family val="2"/>
        <scheme val="minor"/>
      </rPr>
      <t>A*</t>
    </r>
    <r>
      <rPr>
        <sz val="14"/>
        <color theme="1"/>
        <rFont val="Calibri"/>
        <family val="2"/>
        <scheme val="minor"/>
      </rPr>
      <t>sin(</t>
    </r>
    <r>
      <rPr>
        <sz val="14"/>
        <color theme="9" tint="0.39997558519241921"/>
        <rFont val="Calibri"/>
        <family val="2"/>
        <scheme val="minor"/>
      </rPr>
      <t>f</t>
    </r>
    <r>
      <rPr>
        <sz val="14"/>
        <color theme="1"/>
        <rFont val="Calibri"/>
        <family val="2"/>
        <scheme val="minor"/>
      </rPr>
      <t>*t*2*pi)</t>
    </r>
  </si>
  <si>
    <t>fm frequency max in the signal</t>
  </si>
  <si>
    <t xml:space="preserve"> fs &gt;= 2 fm</t>
  </si>
  <si>
    <t>0 untill samples/2</t>
  </si>
  <si>
    <t xml:space="preserve">x-axis select only - 0 untill samples/2 </t>
  </si>
  <si>
    <t>Time(s)</t>
  </si>
  <si>
    <t>without aliasing if</t>
  </si>
  <si>
    <t>fs(hz)   Sample frenquency (sample rate )</t>
  </si>
  <si>
    <t xml:space="preserve"> all samples  (  2^n)</t>
  </si>
  <si>
    <t>2^6=64  n=6</t>
  </si>
  <si>
    <t>in
Data</t>
  </si>
  <si>
    <t>out               FFT complex</t>
  </si>
  <si>
    <t>7.80170232660238E-03-0.158807299129756i</t>
  </si>
  <si>
    <t>fm</t>
  </si>
  <si>
    <t>2373396.50812109</t>
  </si>
  <si>
    <t>28203360.5437229+2705503.86176021i</t>
  </si>
  <si>
    <t>-6264066.27813004+18595381.4885365i</t>
  </si>
  <si>
    <t>-13196714.4544165-4211849.83147923i</t>
  </si>
  <si>
    <t>5414114.85743485-2347249.66891111i</t>
  </si>
  <si>
    <t>-2356167.09955102-4441919.76102546i</t>
  </si>
  <si>
    <t>1304440.46850401+497746.825769773i</t>
  </si>
  <si>
    <t>1713919.22882631-559415.861393383i</t>
  </si>
  <si>
    <t>1725091.20781626-816413.575381513i</t>
  </si>
  <si>
    <t>1323163.10338876+4178055.67573865i</t>
  </si>
  <si>
    <t>11714235.7770997-409313.428770753i</t>
  </si>
  <si>
    <t>-169923.860651631-9051725.22273323i</t>
  </si>
  <si>
    <t>-1181851.09698638+4327071.80944585i</t>
  </si>
  <si>
    <t>5859785.42873966+924846.348899313i</t>
  </si>
  <si>
    <t>6115553.31500554+269719.323659146i</t>
  </si>
  <si>
    <t>4416435.55868069-5260921.64725834i</t>
  </si>
  <si>
    <t>771772.934277314+1488089.44239847i</t>
  </si>
  <si>
    <t>7003385.10776131-1706517.71925429i</t>
  </si>
  <si>
    <t>2309317.05663384-1174178.39104466i</t>
  </si>
  <si>
    <t>3580606.88832435-1556886.02369443i</t>
  </si>
  <si>
    <t>6015265.54689858+18985136.2255599i</t>
  </si>
  <si>
    <t>-27703999.2215102-2632302.23794075i</t>
  </si>
  <si>
    <t>-2578640.27217961-8100107.09728034i</t>
  </si>
  <si>
    <t>-229103.557525756-1160991.62689429i</t>
  </si>
  <si>
    <t>-1727769.06139651-8447314.91634342i</t>
  </si>
  <si>
    <t>-3914350.88236417-801455.687670994i</t>
  </si>
  <si>
    <t>-4873132.7829383-4455491.88008916i</t>
  </si>
  <si>
    <t>-4520906.24645507+7205279.92037242i</t>
  </si>
  <si>
    <t>3624617.356-1003038.5169604i</t>
  </si>
  <si>
    <t>-2977958.60627935+3271215.91185745i</t>
  </si>
  <si>
    <t>4042900.11685331+251031.703380868i</t>
  </si>
  <si>
    <t>-1582916.06062796+3480855.35720369i</t>
  </si>
  <si>
    <t>8554889.46196948</t>
  </si>
  <si>
    <t>-1582916.06062798-3480855.35720365i</t>
  </si>
  <si>
    <t>4042900.11685329-251031.703380892i</t>
  </si>
  <si>
    <t>-2977958.60627935-3271215.91185745i</t>
  </si>
  <si>
    <t>3624617.35600001+1003038.51696041i</t>
  </si>
  <si>
    <t>-4520906.2464551-7205279.92037241i</t>
  </si>
  <si>
    <t>-4873132.78293828+4455491.88008917i</t>
  </si>
  <si>
    <t>-3914350.88236417+801455.687671007i</t>
  </si>
  <si>
    <t>-1727769.0613965+8447314.91634342i</t>
  </si>
  <si>
    <t>-229103.557525759+1160991.62689428i</t>
  </si>
  <si>
    <t>-2578640.27217959+8100107.09728036i</t>
  </si>
  <si>
    <t>-27703999.2215102+2632302.23794085i</t>
  </si>
  <si>
    <t>6015265.54689853-18985136.2255599i</t>
  </si>
  <si>
    <t>3580606.88832433+1556886.0236944i</t>
  </si>
  <si>
    <t>2309317.05663384+1174178.39104467i</t>
  </si>
  <si>
    <t>7003385.10776129+1706517.71925427i</t>
  </si>
  <si>
    <t>771772.934277311-1488089.44239847i</t>
  </si>
  <si>
    <t>4416435.5586807+5260921.64725833i</t>
  </si>
  <si>
    <t>6115553.31500553-269719.323659162i</t>
  </si>
  <si>
    <t>5859785.42873964-924846.348899336i</t>
  </si>
  <si>
    <t>-1181851.09698641-4327071.80944585i</t>
  </si>
  <si>
    <t>-169923.86065159+9051725.2227332i</t>
  </si>
  <si>
    <t>11714235.7770997+409313.428770725i</t>
  </si>
  <si>
    <t>1323163.10338873-4178055.67573865i</t>
  </si>
  <si>
    <t>1725091.20781627+816413.575381512i</t>
  </si>
  <si>
    <t>1713919.2288263+559415.861393378i</t>
  </si>
  <si>
    <t>1304440.46850402-497746.825769772i</t>
  </si>
  <si>
    <t>-2356167.09955101+4441919.76102546i</t>
  </si>
  <si>
    <t>5414114.85743485+2347249.66891109i</t>
  </si>
  <si>
    <t>-13196714.4544165+4211849.83147929i</t>
  </si>
  <si>
    <t>-6264066.2781301-18595381.4885364i</t>
  </si>
  <si>
    <t>28203360.5437229-2705503.86176031i</t>
  </si>
  <si>
    <t>if this spreedsheet help you.Like in @aulas4you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</si>
</sst>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111111"/>
      <name val="Arial"/>
      <family val="2"/>
    </font>
    <font>
      <sz val="11"/>
      <color theme="9" tint="0.3999755851924192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9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theme="4" tint="0.79998168889431442"/>
      </patternFill>
    </fill>
    <fill>
      <patternFill patternType="solid">
        <fgColor theme="4" tint="0.39997558519241921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44" fontId="0" fillId="0" borderId="0" xfId="1" applyFont="1"/>
    <xf numFmtId="0" fontId="5" fillId="0" borderId="0" xfId="0" applyFont="1" applyAlignment="1">
      <alignment wrapText="1"/>
    </xf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2" fillId="0" borderId="0" xfId="0" applyFont="1"/>
    <xf numFmtId="0" fontId="6" fillId="0" borderId="0" xfId="0" applyFont="1"/>
    <xf numFmtId="0" fontId="0" fillId="7" borderId="0" xfId="0" applyFill="1"/>
    <xf numFmtId="0" fontId="7" fillId="7" borderId="0" xfId="0" applyFont="1" applyFill="1"/>
    <xf numFmtId="0" fontId="0" fillId="5" borderId="0" xfId="0" applyFont="1" applyFill="1" applyAlignment="1">
      <alignment horizontal="left" vertical="center" wrapText="1"/>
    </xf>
    <xf numFmtId="0" fontId="4" fillId="4" borderId="4" xfId="0" applyNumberFormat="1" applyFont="1" applyFill="1" applyBorder="1" applyAlignment="1" applyProtection="1">
      <alignment horizontal="left"/>
      <protection locked="0"/>
    </xf>
    <xf numFmtId="1" fontId="4" fillId="4" borderId="4" xfId="0" applyNumberFormat="1" applyFont="1" applyFill="1" applyBorder="1" applyAlignment="1" applyProtection="1">
      <alignment horizontal="left"/>
      <protection locked="0"/>
    </xf>
    <xf numFmtId="0" fontId="0" fillId="8" borderId="1" xfId="0" applyFont="1" applyFill="1" applyBorder="1"/>
    <xf numFmtId="2" fontId="0" fillId="8" borderId="1" xfId="0" applyNumberFormat="1" applyFont="1" applyFill="1" applyBorder="1" applyAlignment="1">
      <alignment horizontal="left"/>
    </xf>
    <xf numFmtId="0" fontId="0" fillId="8" borderId="2" xfId="0" applyFont="1" applyFill="1" applyBorder="1"/>
    <xf numFmtId="0" fontId="0" fillId="8" borderId="3" xfId="0" applyFont="1" applyFill="1" applyBorder="1"/>
    <xf numFmtId="0" fontId="0" fillId="2" borderId="1" xfId="0" applyFont="1" applyFill="1" applyBorder="1"/>
    <xf numFmtId="2" fontId="0" fillId="2" borderId="1" xfId="0" applyNumberFormat="1" applyFont="1" applyFill="1" applyBorder="1" applyAlignment="1">
      <alignment horizontal="left"/>
    </xf>
    <xf numFmtId="0" fontId="0" fillId="2" borderId="2" xfId="0" applyFont="1" applyFill="1" applyBorder="1"/>
    <xf numFmtId="0" fontId="10" fillId="9" borderId="1" xfId="0" applyFont="1" applyFill="1" applyBorder="1"/>
    <xf numFmtId="0" fontId="3" fillId="9" borderId="1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3" fillId="9" borderId="2" xfId="0" applyFont="1" applyFill="1" applyBorder="1" applyAlignment="1">
      <alignment wrapText="1"/>
    </xf>
    <xf numFmtId="0" fontId="0" fillId="5" borderId="0" xfId="0" applyFill="1" applyAlignment="1">
      <alignment vertical="top"/>
    </xf>
    <xf numFmtId="0" fontId="7" fillId="0" borderId="0" xfId="0" applyFont="1"/>
    <xf numFmtId="1" fontId="0" fillId="0" borderId="0" xfId="0" applyNumberFormat="1"/>
    <xf numFmtId="2" fontId="0" fillId="0" borderId="0" xfId="0" applyNumberFormat="1"/>
  </cellXfs>
  <cellStyles count="2">
    <cellStyle name="Currency" xfId="1" builtinId="4"/>
    <cellStyle name="Normal" xfId="0" builtinId="0"/>
  </cellStyles>
  <dxfs count="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</a:t>
            </a:r>
          </a:p>
        </c:rich>
      </c:tx>
      <c:layout>
        <c:manualLayout>
          <c:xMode val="edge"/>
          <c:yMode val="edge"/>
          <c:x val="0.36382966881287926"/>
          <c:y val="3.56506138783067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6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0555555555555555E-2"/>
          <c:y val="0.18097222222222226"/>
          <c:w val="0.93888888888888888"/>
          <c:h val="0.6714577865266842"/>
        </c:manualLayout>
      </c:layout>
      <c:pie3DChart>
        <c:varyColors val="1"/>
        <c:ser>
          <c:idx val="0"/>
          <c:order val="0"/>
          <c:tx>
            <c:strRef>
              <c:f>grafico_combinado_exemplo!$B$2</c:f>
              <c:strCache>
                <c:ptCount val="1"/>
                <c:pt idx="0">
                  <c:v>Vendas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1A-4E37-BEDE-8B477CB743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1A-4E37-BEDE-8B477CB743F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1A-4E37-BEDE-8B477CB743F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1A-4E37-BEDE-8B477CB743F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11A-4E37-BEDE-8B477CB743F0}"/>
              </c:ext>
            </c:extLst>
          </c:dPt>
          <c:dLbls>
            <c:dLbl>
              <c:idx val="0"/>
              <c:layout>
                <c:manualLayout>
                  <c:x val="9.4562665356688318E-3"/>
                  <c:y val="-3.565061387830677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1A-4E37-BEDE-8B477CB743F0}"/>
                </c:ext>
              </c:extLst>
            </c:dLbl>
            <c:dLbl>
              <c:idx val="1"/>
              <c:layout>
                <c:manualLayout>
                  <c:x val="1.1415525114155251E-2"/>
                  <c:y val="-7.47295968534906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A-4E37-BEDE-8B477CB743F0}"/>
                </c:ext>
              </c:extLst>
            </c:dLbl>
            <c:dLbl>
              <c:idx val="2"/>
              <c:layout>
                <c:manualLayout>
                  <c:x val="2.8368799607006497E-2"/>
                  <c:y val="-0.288769972414284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1A-4E37-BEDE-8B477CB743F0}"/>
                </c:ext>
              </c:extLst>
            </c:dLbl>
            <c:dLbl>
              <c:idx val="3"/>
              <c:layout>
                <c:manualLayout>
                  <c:x val="-0.14341470624424457"/>
                  <c:y val="-0.1028820573828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A-4E37-BEDE-8B477CB743F0}"/>
                </c:ext>
              </c:extLst>
            </c:dLbl>
            <c:dLbl>
              <c:idx val="4"/>
              <c:layout>
                <c:manualLayout>
                  <c:x val="-1.654846643742048E-2"/>
                  <c:y val="-7.486628914444423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11A-4E37-BEDE-8B477CB743F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grafico_combinado_exemplo!$A$3:$A$7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grafico_combinado_exemplo!$B$3:$B$7</c:f>
              <c:numCache>
                <c:formatCode>_("R$"* #,##0.00_);_("R$"* \(#,##0.00\);_("R$"* "-"??_);_(@_)</c:formatCode>
                <c:ptCount val="5"/>
                <c:pt idx="0">
                  <c:v>400</c:v>
                </c:pt>
                <c:pt idx="1">
                  <c:v>100</c:v>
                </c:pt>
                <c:pt idx="2">
                  <c:v>70</c:v>
                </c:pt>
                <c:pt idx="3">
                  <c:v>100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1A-4E37-BEDE-8B477CB743F0}"/>
            </c:ext>
          </c:extLst>
        </c:ser>
        <c:ser>
          <c:idx val="1"/>
          <c:order val="1"/>
          <c:tx>
            <c:strRef>
              <c:f>grafico_combinado_exemplo!$C$2</c:f>
              <c:strCache>
                <c:ptCount val="1"/>
                <c:pt idx="0">
                  <c:v>custo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64B5-4443-8854-44FB754B81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64B5-4443-8854-44FB754B81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64B5-4443-8854-44FB754B81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64B5-4443-8854-44FB754B81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64B5-4443-8854-44FB754B81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grafico_combinado_exemplo!$A$3:$A$7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grafico_combinado_exemplo!$C$3:$C$7</c:f>
              <c:numCache>
                <c:formatCode>_("R$"* #,##0.00_);_("R$"* \(#,##0.00\);_("R$"* "-"??_);_(@_)</c:formatCode>
                <c:ptCount val="5"/>
                <c:pt idx="0">
                  <c:v>-50</c:v>
                </c:pt>
                <c:pt idx="1">
                  <c:v>-20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1A-4E37-BEDE-8B477CB743F0}"/>
            </c:ext>
          </c:extLst>
        </c:ser>
        <c:ser>
          <c:idx val="2"/>
          <c:order val="2"/>
          <c:tx>
            <c:strRef>
              <c:f>grafico_combinado_exemplo!$D$2</c:f>
              <c:strCache>
                <c:ptCount val="1"/>
                <c:pt idx="0">
                  <c:v>lucro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64B5-4443-8854-44FB754B81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64B5-4443-8854-44FB754B81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64B5-4443-8854-44FB754B81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64B5-4443-8854-44FB754B81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64B5-4443-8854-44FB754B81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grafico_combinado_exemplo!$A$3:$A$7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grafico_combinado_exemplo!$D$3:$D$7</c:f>
              <c:numCache>
                <c:formatCode>_("R$"* #,##0.00_);_("R$"* \(#,##0.00\);_("R$"* "-"??_);_(@_)</c:formatCode>
                <c:ptCount val="5"/>
                <c:pt idx="0">
                  <c:v>350</c:v>
                </c:pt>
                <c:pt idx="1">
                  <c:v>80</c:v>
                </c:pt>
                <c:pt idx="2">
                  <c:v>-30</c:v>
                </c:pt>
                <c:pt idx="3">
                  <c:v>50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11A-4E37-BEDE-8B477CB743F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Produtos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711710491065241"/>
          <c:y val="0.1752769679300292"/>
          <c:w val="0.83577321143180916"/>
          <c:h val="0.7241394825646794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grafico_combinado_exemplo!$B$2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3327215675164665E-3"/>
                  <c:y val="-0.1166180758017493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75-40DE-A242-4750E365A5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grafico_combinado_exemplo!$A$3:$A$7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grafico_combinado_exemplo!$B$3:$B$7</c:f>
              <c:numCache>
                <c:formatCode>_("R$"* #,##0.00_);_("R$"* \(#,##0.00\);_("R$"* "-"??_);_(@_)</c:formatCode>
                <c:ptCount val="5"/>
                <c:pt idx="0">
                  <c:v>400</c:v>
                </c:pt>
                <c:pt idx="1">
                  <c:v>100</c:v>
                </c:pt>
                <c:pt idx="2">
                  <c:v>70</c:v>
                </c:pt>
                <c:pt idx="3">
                  <c:v>100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5-40DE-A242-4750E365A552}"/>
            </c:ext>
          </c:extLst>
        </c:ser>
        <c:ser>
          <c:idx val="1"/>
          <c:order val="1"/>
          <c:tx>
            <c:strRef>
              <c:f>grafico_combinado_exemplo!$C$2</c:f>
              <c:strCache>
                <c:ptCount val="1"/>
                <c:pt idx="0">
                  <c:v>custo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7769620900219779E-3"/>
                  <c:y val="-0.1010677746914288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75-40DE-A242-4750E365A552}"/>
                </c:ext>
              </c:extLst>
            </c:dLbl>
            <c:dLbl>
              <c:idx val="1"/>
              <c:layout>
                <c:manualLayout>
                  <c:x val="-1.2221202612527444E-2"/>
                  <c:y val="-0.1088432313307773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75-40DE-A242-4750E365A552}"/>
                </c:ext>
              </c:extLst>
            </c:dLbl>
            <c:dLbl>
              <c:idx val="4"/>
              <c:layout>
                <c:manualLayout>
                  <c:x val="4.1552088882593312E-2"/>
                  <c:y val="-5.053449951409134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D75-40DE-A242-4750E365A5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grafico_combinado_exemplo!$A$3:$A$7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grafico_combinado_exemplo!$C$3:$C$7</c:f>
              <c:numCache>
                <c:formatCode>_("R$"* #,##0.00_);_("R$"* \(#,##0.00\);_("R$"* "-"??_);_(@_)</c:formatCode>
                <c:ptCount val="5"/>
                <c:pt idx="0">
                  <c:v>-50</c:v>
                </c:pt>
                <c:pt idx="1">
                  <c:v>-20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75-40DE-A242-4750E365A552}"/>
            </c:ext>
          </c:extLst>
        </c:ser>
        <c:ser>
          <c:idx val="2"/>
          <c:order val="2"/>
          <c:tx>
            <c:strRef>
              <c:f>grafico_combinado_exemplo!$D$2</c:f>
              <c:strCache>
                <c:ptCount val="1"/>
                <c:pt idx="0">
                  <c:v>lucro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6417161630769909E-3"/>
                  <c:y val="-2.962962962962963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75-40DE-A242-4750E365A552}"/>
                </c:ext>
              </c:extLst>
            </c:dLbl>
            <c:dLbl>
              <c:idx val="3"/>
              <c:layout>
                <c:manualLayout>
                  <c:x val="4.8884810450108883E-3"/>
                  <c:y val="-7.7745383867832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75-40DE-A242-4750E365A552}"/>
                </c:ext>
              </c:extLst>
            </c:dLbl>
            <c:dLbl>
              <c:idx val="4"/>
              <c:layout>
                <c:manualLayout>
                  <c:x val="4.6198647853841347E-2"/>
                  <c:y val="-8.163265306122448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75-40DE-A242-4750E365A5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grafico_combinado_exemplo!$A$3:$A$7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grafico_combinado_exemplo!$D$3:$D$7</c:f>
              <c:numCache>
                <c:formatCode>_("R$"* #,##0.00_);_("R$"* \(#,##0.00\);_("R$"* "-"??_);_(@_)</c:formatCode>
                <c:ptCount val="5"/>
                <c:pt idx="0">
                  <c:v>350</c:v>
                </c:pt>
                <c:pt idx="1">
                  <c:v>80</c:v>
                </c:pt>
                <c:pt idx="2">
                  <c:v>-30</c:v>
                </c:pt>
                <c:pt idx="3">
                  <c:v>50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5-40DE-A242-4750E365A5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1841995936"/>
        <c:axId val="2013730160"/>
      </c:barChart>
      <c:catAx>
        <c:axId val="18419959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>
            <a:glow rad="63500">
              <a:schemeClr val="accent1">
                <a:satMod val="175000"/>
                <a:alpha val="40000"/>
              </a:schemeClr>
            </a:glow>
            <a:softEdge rad="800100"/>
          </a:effectLst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3730160"/>
        <c:crosses val="autoZero"/>
        <c:auto val="1"/>
        <c:lblAlgn val="ctr"/>
        <c:lblOffset val="100"/>
        <c:noMultiLvlLbl val="0"/>
      </c:catAx>
      <c:valAx>
        <c:axId val="2013730160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199593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Produto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grafico_combinado_e!$B$2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grafico_combinado_e!$A$3:$A$7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grafico_combinado_e!$B$3:$B$7</c:f>
              <c:numCache>
                <c:formatCode>_("R$"* #,##0.00_);_("R$"* \(#,##0.00\);_("R$"* "-"??_);_(@_)</c:formatCode>
                <c:ptCount val="5"/>
                <c:pt idx="0">
                  <c:v>400</c:v>
                </c:pt>
                <c:pt idx="1">
                  <c:v>100</c:v>
                </c:pt>
                <c:pt idx="2">
                  <c:v>70</c:v>
                </c:pt>
                <c:pt idx="3">
                  <c:v>100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C-4D2B-A8B9-02AA8D88FADF}"/>
            </c:ext>
          </c:extLst>
        </c:ser>
        <c:ser>
          <c:idx val="1"/>
          <c:order val="1"/>
          <c:tx>
            <c:strRef>
              <c:f>grafico_combinado_e!$C$2</c:f>
              <c:strCache>
                <c:ptCount val="1"/>
                <c:pt idx="0">
                  <c:v>custo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7.82312925170068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9C-4D2B-A8B9-02AA8D88FADF}"/>
                </c:ext>
              </c:extLst>
            </c:dLbl>
            <c:dLbl>
              <c:idx val="1"/>
              <c:layout>
                <c:manualLayout>
                  <c:x val="-2.8697571743929361E-2"/>
                  <c:y val="-5.102040816326530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9C-4D2B-A8B9-02AA8D88FADF}"/>
                </c:ext>
              </c:extLst>
            </c:dLbl>
            <c:dLbl>
              <c:idx val="2"/>
              <c:layout>
                <c:manualLayout>
                  <c:x val="0.10596026490066225"/>
                  <c:y val="-6.80272108843536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9C-4D2B-A8B9-02AA8D88FADF}"/>
                </c:ext>
              </c:extLst>
            </c:dLbl>
            <c:dLbl>
              <c:idx val="3"/>
              <c:layout>
                <c:manualLayout>
                  <c:x val="3.7527593818984468E-2"/>
                  <c:y val="-7.82312925170068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9C-4D2B-A8B9-02AA8D88FADF}"/>
                </c:ext>
              </c:extLst>
            </c:dLbl>
            <c:dLbl>
              <c:idx val="4"/>
              <c:layout>
                <c:manualLayout>
                  <c:x val="4.4150110375274316E-3"/>
                  <c:y val="-9.86394557823129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9C-4D2B-A8B9-02AA8D88FA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grafico_combinado_e!$A$3:$A$7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grafico_combinado_e!$C$3:$C$7</c:f>
              <c:numCache>
                <c:formatCode>_("R$"* #,##0.00_);_("R$"* \(#,##0.00\);_("R$"* "-"??_);_(@_)</c:formatCode>
                <c:ptCount val="5"/>
                <c:pt idx="0">
                  <c:v>-50</c:v>
                </c:pt>
                <c:pt idx="1">
                  <c:v>-20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9C-4D2B-A8B9-02AA8D88FADF}"/>
            </c:ext>
          </c:extLst>
        </c:ser>
        <c:ser>
          <c:idx val="2"/>
          <c:order val="2"/>
          <c:tx>
            <c:strRef>
              <c:f>grafico_combinado_e!$D$2</c:f>
              <c:strCache>
                <c:ptCount val="1"/>
                <c:pt idx="0">
                  <c:v>lucro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grafico_combinado_e!$A$3:$A$7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grafico_combinado_e!$D$3:$D$7</c:f>
              <c:numCache>
                <c:formatCode>General</c:formatCode>
                <c:ptCount val="5"/>
                <c:pt idx="0">
                  <c:v>350</c:v>
                </c:pt>
                <c:pt idx="1">
                  <c:v>80</c:v>
                </c:pt>
                <c:pt idx="2">
                  <c:v>-30</c:v>
                </c:pt>
                <c:pt idx="3">
                  <c:v>50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9C-4D2B-A8B9-02AA8D88FA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100"/>
        <c:axId val="1717848192"/>
        <c:axId val="1899160752"/>
      </c:barChart>
      <c:valAx>
        <c:axId val="1899160752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7848192"/>
        <c:crosses val="autoZero"/>
        <c:crossBetween val="between"/>
      </c:valAx>
      <c:catAx>
        <c:axId val="171784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9160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6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0555555555555555E-2"/>
          <c:y val="0.18097222222222226"/>
          <c:w val="0.93888888888888888"/>
          <c:h val="0.6714577865266842"/>
        </c:manualLayout>
      </c:layout>
      <c:pie3DChart>
        <c:varyColors val="1"/>
        <c:ser>
          <c:idx val="0"/>
          <c:order val="0"/>
          <c:tx>
            <c:strRef>
              <c:f>pizza_exemplo!$B$2</c:f>
              <c:strCache>
                <c:ptCount val="1"/>
                <c:pt idx="0">
                  <c:v>vendas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66-4814-87C0-01996A27EA7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D866-4814-87C0-01996A27EA7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D866-4814-87C0-01996A27EA7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66-4814-87C0-01996A27EA7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66-4814-87C0-01996A27EA7B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pizza_exemplo!$A$3:$A$7</c:f>
              <c:strCache>
                <c:ptCount val="5"/>
                <c:pt idx="0">
                  <c:v>tablet</c:v>
                </c:pt>
                <c:pt idx="1">
                  <c:v>sensor</c:v>
                </c:pt>
                <c:pt idx="2">
                  <c:v>camera</c:v>
                </c:pt>
                <c:pt idx="3">
                  <c:v>televisão</c:v>
                </c:pt>
                <c:pt idx="4">
                  <c:v>monitor</c:v>
                </c:pt>
              </c:strCache>
            </c:strRef>
          </c:cat>
          <c:val>
            <c:numRef>
              <c:f>pizza_exemplo!$B$3:$B$7</c:f>
              <c:numCache>
                <c:formatCode>_("R$"* #,##0.00_);_("R$"* \(#,##0.00\);_("R$"* "-"??_);_(@_)</c:formatCode>
                <c:ptCount val="5"/>
                <c:pt idx="0">
                  <c:v>20</c:v>
                </c:pt>
                <c:pt idx="1">
                  <c:v>50</c:v>
                </c:pt>
                <c:pt idx="2">
                  <c:v>70</c:v>
                </c:pt>
                <c:pt idx="3">
                  <c:v>100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6-4814-87C0-01996A27E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'transformada_exemplo (2)'!$C$7</c:f>
              <c:strCache>
                <c:ptCount val="1"/>
                <c:pt idx="0">
                  <c:v>in
Data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'transformada_exemplo (2)'!$B$8:$B$40</c:f>
              <c:numCache>
                <c:formatCode>0.00</c:formatCode>
                <c:ptCount val="33"/>
                <c:pt idx="0">
                  <c:v>0</c:v>
                </c:pt>
                <c:pt idx="1">
                  <c:v>3.2258064516129031E-2</c:v>
                </c:pt>
                <c:pt idx="2">
                  <c:v>6.4516129032258063E-2</c:v>
                </c:pt>
                <c:pt idx="3">
                  <c:v>9.6774193548387094E-2</c:v>
                </c:pt>
                <c:pt idx="4">
                  <c:v>0.12903225806451613</c:v>
                </c:pt>
                <c:pt idx="5">
                  <c:v>0.16129032258064516</c:v>
                </c:pt>
                <c:pt idx="6">
                  <c:v>0.19354838709677419</c:v>
                </c:pt>
                <c:pt idx="7">
                  <c:v>0.22580645161290322</c:v>
                </c:pt>
                <c:pt idx="8">
                  <c:v>0.25806451612903225</c:v>
                </c:pt>
                <c:pt idx="9">
                  <c:v>0.29032258064516131</c:v>
                </c:pt>
                <c:pt idx="10">
                  <c:v>0.32258064516129031</c:v>
                </c:pt>
                <c:pt idx="11">
                  <c:v>0.35483870967741937</c:v>
                </c:pt>
                <c:pt idx="12">
                  <c:v>0.38709677419354838</c:v>
                </c:pt>
                <c:pt idx="13">
                  <c:v>0.41935483870967744</c:v>
                </c:pt>
                <c:pt idx="14">
                  <c:v>0.45161290322580644</c:v>
                </c:pt>
                <c:pt idx="15">
                  <c:v>0.4838709677419355</c:v>
                </c:pt>
                <c:pt idx="16">
                  <c:v>0.5161290322580645</c:v>
                </c:pt>
                <c:pt idx="17">
                  <c:v>0.54838709677419351</c:v>
                </c:pt>
                <c:pt idx="18">
                  <c:v>0.58064516129032262</c:v>
                </c:pt>
                <c:pt idx="19">
                  <c:v>0.61290322580645162</c:v>
                </c:pt>
                <c:pt idx="20">
                  <c:v>0.64516129032258063</c:v>
                </c:pt>
                <c:pt idx="21">
                  <c:v>0.67741935483870963</c:v>
                </c:pt>
                <c:pt idx="22">
                  <c:v>0.70967741935483875</c:v>
                </c:pt>
                <c:pt idx="23">
                  <c:v>0.74193548387096775</c:v>
                </c:pt>
                <c:pt idx="24">
                  <c:v>0.77419354838709675</c:v>
                </c:pt>
                <c:pt idx="25">
                  <c:v>0.80645161290322576</c:v>
                </c:pt>
                <c:pt idx="26">
                  <c:v>0.83870967741935487</c:v>
                </c:pt>
                <c:pt idx="27">
                  <c:v>0.87096774193548387</c:v>
                </c:pt>
                <c:pt idx="28">
                  <c:v>0.90322580645161288</c:v>
                </c:pt>
                <c:pt idx="29">
                  <c:v>0.93548387096774188</c:v>
                </c:pt>
                <c:pt idx="30">
                  <c:v>0.967741935483871</c:v>
                </c:pt>
                <c:pt idx="31">
                  <c:v>1</c:v>
                </c:pt>
                <c:pt idx="32">
                  <c:v>1.032258064516129</c:v>
                </c:pt>
              </c:numCache>
            </c:numRef>
          </c:xVal>
          <c:yVal>
            <c:numRef>
              <c:f>'transformada_exemplo (2)'!$C$8:$C$40</c:f>
              <c:numCache>
                <c:formatCode>0.00</c:formatCode>
                <c:ptCount val="33"/>
                <c:pt idx="0" formatCode="General">
                  <c:v>0</c:v>
                </c:pt>
                <c:pt idx="1">
                  <c:v>1635092.9222508797</c:v>
                </c:pt>
                <c:pt idx="2">
                  <c:v>-1046017.0570854601</c:v>
                </c:pt>
                <c:pt idx="3">
                  <c:v>58397.295880190621</c:v>
                </c:pt>
                <c:pt idx="4">
                  <c:v>2113156.2410897608</c:v>
                </c:pt>
                <c:pt idx="5">
                  <c:v>-500456.13212167937</c:v>
                </c:pt>
                <c:pt idx="6">
                  <c:v>-10667.824398472672</c:v>
                </c:pt>
                <c:pt idx="7">
                  <c:v>2346022.8955273828</c:v>
                </c:pt>
                <c:pt idx="8">
                  <c:v>-120205.91611466056</c:v>
                </c:pt>
                <c:pt idx="9">
                  <c:v>-284604.63572286896</c:v>
                </c:pt>
                <c:pt idx="10">
                  <c:v>2266431.0240939655</c:v>
                </c:pt>
                <c:pt idx="11">
                  <c:v>46309.767178524693</c:v>
                </c:pt>
                <c:pt idx="12">
                  <c:v>-758837.3878222038</c:v>
                </c:pt>
                <c:pt idx="13">
                  <c:v>1897488.7645304082</c:v>
                </c:pt>
                <c:pt idx="14">
                  <c:v>37799.628957583802</c:v>
                </c:pt>
                <c:pt idx="15">
                  <c:v>-1344612.6425938215</c:v>
                </c:pt>
                <c:pt idx="16">
                  <c:v>1344612.6425938224</c:v>
                </c:pt>
                <c:pt idx="17">
                  <c:v>-37799.628957573412</c:v>
                </c:pt>
                <c:pt idx="18">
                  <c:v>-1897488.7645304119</c:v>
                </c:pt>
                <c:pt idx="19">
                  <c:v>758837.38782219694</c:v>
                </c:pt>
                <c:pt idx="20">
                  <c:v>-46309.767178515205</c:v>
                </c:pt>
                <c:pt idx="21">
                  <c:v>-2266431.0240939683</c:v>
                </c:pt>
                <c:pt idx="22">
                  <c:v>284604.63572287047</c:v>
                </c:pt>
                <c:pt idx="23">
                  <c:v>120205.91611465893</c:v>
                </c:pt>
                <c:pt idx="24">
                  <c:v>-2346022.8955273824</c:v>
                </c:pt>
                <c:pt idx="25">
                  <c:v>10667.82439846592</c:v>
                </c:pt>
                <c:pt idx="26">
                  <c:v>500456.13212168915</c:v>
                </c:pt>
                <c:pt idx="27">
                  <c:v>-2113156.2410897575</c:v>
                </c:pt>
                <c:pt idx="28">
                  <c:v>-58397.295880207734</c:v>
                </c:pt>
                <c:pt idx="29">
                  <c:v>1046017.0570854724</c:v>
                </c:pt>
                <c:pt idx="30">
                  <c:v>-1635092.9222508797</c:v>
                </c:pt>
                <c:pt idx="31">
                  <c:v>-4.2526600925636704E-9</c:v>
                </c:pt>
                <c:pt idx="32">
                  <c:v>1635092.9222508781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B7-4D26-92FD-6F2C6E20E1F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'transformada_exemplo (2)'!$B$8:$B$39</c:f>
              <c:numCache>
                <c:formatCode>0.00</c:formatCode>
                <c:ptCount val="32"/>
                <c:pt idx="0">
                  <c:v>0</c:v>
                </c:pt>
                <c:pt idx="1">
                  <c:v>3.2258064516129031E-2</c:v>
                </c:pt>
                <c:pt idx="2">
                  <c:v>6.4516129032258063E-2</c:v>
                </c:pt>
                <c:pt idx="3">
                  <c:v>9.6774193548387094E-2</c:v>
                </c:pt>
                <c:pt idx="4">
                  <c:v>0.12903225806451613</c:v>
                </c:pt>
                <c:pt idx="5">
                  <c:v>0.16129032258064516</c:v>
                </c:pt>
                <c:pt idx="6">
                  <c:v>0.19354838709677419</c:v>
                </c:pt>
                <c:pt idx="7">
                  <c:v>0.22580645161290322</c:v>
                </c:pt>
                <c:pt idx="8">
                  <c:v>0.25806451612903225</c:v>
                </c:pt>
                <c:pt idx="9">
                  <c:v>0.29032258064516131</c:v>
                </c:pt>
                <c:pt idx="10">
                  <c:v>0.32258064516129031</c:v>
                </c:pt>
                <c:pt idx="11">
                  <c:v>0.35483870967741937</c:v>
                </c:pt>
                <c:pt idx="12">
                  <c:v>0.38709677419354838</c:v>
                </c:pt>
                <c:pt idx="13">
                  <c:v>0.41935483870967744</c:v>
                </c:pt>
                <c:pt idx="14">
                  <c:v>0.45161290322580644</c:v>
                </c:pt>
                <c:pt idx="15">
                  <c:v>0.4838709677419355</c:v>
                </c:pt>
                <c:pt idx="16">
                  <c:v>0.5161290322580645</c:v>
                </c:pt>
                <c:pt idx="17">
                  <c:v>0.54838709677419351</c:v>
                </c:pt>
                <c:pt idx="18">
                  <c:v>0.58064516129032262</c:v>
                </c:pt>
                <c:pt idx="19">
                  <c:v>0.61290322580645162</c:v>
                </c:pt>
                <c:pt idx="20">
                  <c:v>0.64516129032258063</c:v>
                </c:pt>
                <c:pt idx="21">
                  <c:v>0.67741935483870963</c:v>
                </c:pt>
                <c:pt idx="22">
                  <c:v>0.70967741935483875</c:v>
                </c:pt>
                <c:pt idx="23">
                  <c:v>0.74193548387096775</c:v>
                </c:pt>
                <c:pt idx="24">
                  <c:v>0.77419354838709675</c:v>
                </c:pt>
                <c:pt idx="25">
                  <c:v>0.80645161290322576</c:v>
                </c:pt>
                <c:pt idx="26">
                  <c:v>0.83870967741935487</c:v>
                </c:pt>
                <c:pt idx="27">
                  <c:v>0.87096774193548387</c:v>
                </c:pt>
                <c:pt idx="28">
                  <c:v>0.90322580645161288</c:v>
                </c:pt>
                <c:pt idx="29">
                  <c:v>0.93548387096774188</c:v>
                </c:pt>
                <c:pt idx="30">
                  <c:v>0.967741935483871</c:v>
                </c:pt>
                <c:pt idx="31">
                  <c:v>1</c:v>
                </c:pt>
              </c:numCache>
            </c:numRef>
          </c:xVal>
          <c:yVal>
            <c:numRef>
              <c:f>'transformada_exemplo (2)'!$H$8:$H$39</c:f>
              <c:numCache>
                <c:formatCode>General</c:formatCode>
                <c:ptCount val="32"/>
                <c:pt idx="0">
                  <c:v>853894</c:v>
                </c:pt>
                <c:pt idx="1">
                  <c:v>1515199</c:v>
                </c:pt>
                <c:pt idx="2">
                  <c:v>-149906</c:v>
                </c:pt>
                <c:pt idx="3">
                  <c:v>-1005865</c:v>
                </c:pt>
                <c:pt idx="4">
                  <c:v>1411619</c:v>
                </c:pt>
                <c:pt idx="5">
                  <c:v>-164199</c:v>
                </c:pt>
                <c:pt idx="6">
                  <c:v>913554</c:v>
                </c:pt>
                <c:pt idx="7">
                  <c:v>-35923</c:v>
                </c:pt>
                <c:pt idx="8">
                  <c:v>811068</c:v>
                </c:pt>
                <c:pt idx="9">
                  <c:v>216673</c:v>
                </c:pt>
                <c:pt idx="10">
                  <c:v>-614169</c:v>
                </c:pt>
                <c:pt idx="11">
                  <c:v>139560</c:v>
                </c:pt>
                <c:pt idx="12">
                  <c:v>-171508</c:v>
                </c:pt>
                <c:pt idx="13">
                  <c:v>777999</c:v>
                </c:pt>
                <c:pt idx="14">
                  <c:v>1516401</c:v>
                </c:pt>
                <c:pt idx="15">
                  <c:v>-538809</c:v>
                </c:pt>
                <c:pt idx="16">
                  <c:v>-133697</c:v>
                </c:pt>
                <c:pt idx="17">
                  <c:v>-956688</c:v>
                </c:pt>
                <c:pt idx="18">
                  <c:v>582196</c:v>
                </c:pt>
                <c:pt idx="19" formatCode="0">
                  <c:v>1558643</c:v>
                </c:pt>
                <c:pt idx="20">
                  <c:v>303750</c:v>
                </c:pt>
                <c:pt idx="21">
                  <c:v>-1285561</c:v>
                </c:pt>
                <c:pt idx="22">
                  <c:v>-772631</c:v>
                </c:pt>
                <c:pt idx="23">
                  <c:v>-630152</c:v>
                </c:pt>
                <c:pt idx="24">
                  <c:v>-1427227</c:v>
                </c:pt>
                <c:pt idx="25">
                  <c:v>404758</c:v>
                </c:pt>
                <c:pt idx="26">
                  <c:v>640057</c:v>
                </c:pt>
                <c:pt idx="27">
                  <c:v>-1258587</c:v>
                </c:pt>
                <c:pt idx="28">
                  <c:v>-60867</c:v>
                </c:pt>
                <c:pt idx="29">
                  <c:v>-1266673</c:v>
                </c:pt>
                <c:pt idx="30">
                  <c:v>533649</c:v>
                </c:pt>
                <c:pt idx="31">
                  <c:v>-471517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CA-4F42-A713-807343026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919024"/>
        <c:axId val="1147832816"/>
      </c:scatterChart>
      <c:valAx>
        <c:axId val="1186919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time(s)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832816"/>
        <c:crosses val="autoZero"/>
        <c:crossBetween val="midCat"/>
      </c:valAx>
      <c:valAx>
        <c:axId val="114783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Magnitude(m)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691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430792542684742"/>
          <c:y val="0.18579234972677597"/>
          <c:w val="0.83068842167924883"/>
          <c:h val="0.56790499548212214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'transformada_exemplo (2)'!$E$8:$E$24</c:f>
              <c:numCache>
                <c:formatCode>General</c:formatCode>
                <c:ptCount val="17"/>
                <c:pt idx="0">
                  <c:v>0</c:v>
                </c:pt>
                <c:pt idx="1">
                  <c:v>1.032258064516129</c:v>
                </c:pt>
                <c:pt idx="2">
                  <c:v>2.064516129032258</c:v>
                </c:pt>
                <c:pt idx="3">
                  <c:v>3.096774193548387</c:v>
                </c:pt>
                <c:pt idx="4">
                  <c:v>4.129032258064516</c:v>
                </c:pt>
                <c:pt idx="5">
                  <c:v>5.161290322580645</c:v>
                </c:pt>
                <c:pt idx="6">
                  <c:v>6.193548387096774</c:v>
                </c:pt>
                <c:pt idx="7">
                  <c:v>7.225806451612903</c:v>
                </c:pt>
                <c:pt idx="8">
                  <c:v>8.258064516129032</c:v>
                </c:pt>
                <c:pt idx="9">
                  <c:v>9.2903225806451619</c:v>
                </c:pt>
                <c:pt idx="10">
                  <c:v>10.32258064516129</c:v>
                </c:pt>
                <c:pt idx="11">
                  <c:v>11.35483870967742</c:v>
                </c:pt>
                <c:pt idx="12">
                  <c:v>12.387096774193548</c:v>
                </c:pt>
                <c:pt idx="13">
                  <c:v>13.419354838709678</c:v>
                </c:pt>
                <c:pt idx="14">
                  <c:v>14.451612903225806</c:v>
                </c:pt>
                <c:pt idx="15">
                  <c:v>15.483870967741936</c:v>
                </c:pt>
                <c:pt idx="16">
                  <c:v>16.516129032258064</c:v>
                </c:pt>
              </c:numCache>
            </c:numRef>
          </c:xVal>
          <c:yVal>
            <c:numRef>
              <c:f>'transformada_exemplo (2)'!$F$8:$F$24</c:f>
              <c:numCache>
                <c:formatCode>General</c:formatCode>
                <c:ptCount val="17"/>
                <c:pt idx="0">
                  <c:v>139611.5593012406</c:v>
                </c:pt>
                <c:pt idx="1">
                  <c:v>1666637.1016924479</c:v>
                </c:pt>
                <c:pt idx="2">
                  <c:v>1154241.0724927036</c:v>
                </c:pt>
                <c:pt idx="3">
                  <c:v>814855.47871477029</c:v>
                </c:pt>
                <c:pt idx="4">
                  <c:v>347119.73890983331</c:v>
                </c:pt>
                <c:pt idx="5">
                  <c:v>295772.8400093228</c:v>
                </c:pt>
                <c:pt idx="6">
                  <c:v>82128.1983452844</c:v>
                </c:pt>
                <c:pt idx="7">
                  <c:v>106053.21555300313</c:v>
                </c:pt>
                <c:pt idx="8">
                  <c:v>112266.22464031765</c:v>
                </c:pt>
                <c:pt idx="9">
                  <c:v>257798.16833662882</c:v>
                </c:pt>
                <c:pt idx="10">
                  <c:v>689493.21272659174</c:v>
                </c:pt>
                <c:pt idx="11">
                  <c:v>532548.23725597095</c:v>
                </c:pt>
                <c:pt idx="12">
                  <c:v>263856.95545051584</c:v>
                </c:pt>
                <c:pt idx="13">
                  <c:v>348960.02705786878</c:v>
                </c:pt>
                <c:pt idx="14">
                  <c:v>360088.13253300736</c:v>
                </c:pt>
                <c:pt idx="15">
                  <c:v>404054.70707129833</c:v>
                </c:pt>
                <c:pt idx="16">
                  <c:v>98606.969486706483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C5-4A32-B8E0-87EBE4AB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308784"/>
        <c:axId val="1186972704"/>
      </c:scatterChart>
      <c:valAx>
        <c:axId val="114530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Frequency(hz)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6972704"/>
        <c:crosses val="autoZero"/>
        <c:crossBetween val="midCat"/>
      </c:valAx>
      <c:valAx>
        <c:axId val="118697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Magnitde(m)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530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transformada_exercicio!$C$7</c:f>
              <c:strCache>
                <c:ptCount val="1"/>
                <c:pt idx="0">
                  <c:v>in
Data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transformada_exercicio!$B$8:$B$71</c:f>
              <c:numCache>
                <c:formatCode>0.00</c:formatCode>
                <c:ptCount val="64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transformada_exercicio!$C$8:$C$71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36-487E-9DCE-223D4B713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919024"/>
        <c:axId val="1147832816"/>
      </c:scatterChart>
      <c:valAx>
        <c:axId val="1186919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time(s)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832816"/>
        <c:crosses val="autoZero"/>
        <c:crossBetween val="midCat"/>
      </c:valAx>
      <c:valAx>
        <c:axId val="114783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Magnitude(m)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691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430792542684742"/>
          <c:y val="0.18579234972677597"/>
          <c:w val="0.83068842167924883"/>
          <c:h val="0.56790499548212214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transformada_exercicio!$E$8:$E$40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transformada_exercicio!$F$8:$F$40</c:f>
              <c:numCache>
                <c:formatCode>General</c:formatCode>
                <c:ptCount val="33"/>
                <c:pt idx="0">
                  <c:v>0</c:v>
                </c:pt>
                <c:pt idx="1">
                  <c:v>0.15899882017197711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8E-493F-A522-7A35CEAD0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308784"/>
        <c:axId val="1186972704"/>
      </c:scatterChart>
      <c:valAx>
        <c:axId val="114530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Frequency(hz)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6972704"/>
        <c:crosses val="autoZero"/>
        <c:crossBetween val="midCat"/>
      </c:valAx>
      <c:valAx>
        <c:axId val="118697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Magnitde(m)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530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2.png"/><Relationship Id="rId4" Type="http://schemas.openxmlformats.org/officeDocument/2006/relationships/customXml" Target="../ink/ink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2.png"/><Relationship Id="rId4" Type="http://schemas.openxmlformats.org/officeDocument/2006/relationships/customXml" Target="../ink/ink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7</xdr:row>
      <xdr:rowOff>180976</xdr:rowOff>
    </xdr:from>
    <xdr:to>
      <xdr:col>4</xdr:col>
      <xdr:colOff>171450</xdr:colOff>
      <xdr:row>19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14286</xdr:colOff>
      <xdr:row>1</xdr:row>
      <xdr:rowOff>0</xdr:rowOff>
    </xdr:from>
    <xdr:to>
      <xdr:col>14</xdr:col>
      <xdr:colOff>0</xdr:colOff>
      <xdr:row>19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0</xdr:row>
      <xdr:rowOff>161925</xdr:rowOff>
    </xdr:from>
    <xdr:to>
      <xdr:col>13</xdr:col>
      <xdr:colOff>428625</xdr:colOff>
      <xdr:row>20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0</xdr:row>
      <xdr:rowOff>190499</xdr:rowOff>
    </xdr:from>
    <xdr:to>
      <xdr:col>11</xdr:col>
      <xdr:colOff>47624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390524</xdr:colOff>
      <xdr:row>0</xdr:row>
      <xdr:rowOff>180975</xdr:rowOff>
    </xdr:from>
    <xdr:to>
      <xdr:col>16</xdr:col>
      <xdr:colOff>47625</xdr:colOff>
      <xdr:row>8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419099</xdr:colOff>
      <xdr:row>8</xdr:row>
      <xdr:rowOff>171450</xdr:rowOff>
    </xdr:from>
    <xdr:to>
      <xdr:col>16</xdr:col>
      <xdr:colOff>171450</xdr:colOff>
      <xdr:row>18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4</xdr:row>
          <xdr:rowOff>133350</xdr:rowOff>
        </xdr:from>
        <xdr:to>
          <xdr:col>2</xdr:col>
          <xdr:colOff>590550</xdr:colOff>
          <xdr:row>5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fft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552450</xdr:colOff>
      <xdr:row>6</xdr:row>
      <xdr:rowOff>371475</xdr:rowOff>
    </xdr:from>
    <xdr:to>
      <xdr:col>27</xdr:col>
      <xdr:colOff>295275</xdr:colOff>
      <xdr:row>22</xdr:row>
      <xdr:rowOff>142875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9325" y="1943100"/>
          <a:ext cx="4619625" cy="3743325"/>
        </a:xfrm>
        <a:prstGeom prst="rect">
          <a:avLst/>
        </a:prstGeom>
      </xdr:spPr>
    </xdr:pic>
    <xdr:clientData/>
  </xdr:twoCellAnchor>
  <xdr:twoCellAnchor>
    <xdr:from>
      <xdr:col>10</xdr:col>
      <xdr:colOff>352560</xdr:colOff>
      <xdr:row>3</xdr:row>
      <xdr:rowOff>171285</xdr:rowOff>
    </xdr:from>
    <xdr:to>
      <xdr:col>10</xdr:col>
      <xdr:colOff>352920</xdr:colOff>
      <xdr:row>3</xdr:row>
      <xdr:rowOff>171645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Tinta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14:cNvPr>
            <xdr14:cNvContentPartPr/>
          </xdr14:nvContentPartPr>
          <xdr14:nvPr macro=""/>
          <xdr14:xfrm>
            <a:off x="7963035" y="742785"/>
            <a:ext cx="360" cy="360"/>
          </xdr14:xfrm>
        </xdr:contentPart>
      </mc:Choice>
      <mc:Fallback xmlns="">
        <xdr:pic>
          <xdr:nvPicPr>
            <xdr:cNvPr id="6" name="Tinta 5">
              <a:extLst>
                <a:ext uri="{FF2B5EF4-FFF2-40B4-BE49-F238E27FC236}">
                  <a16:creationId xmlns:a16="http://schemas.microsoft.com/office/drawing/2014/main" id="{C35D92CC-31DD-4961-A8BA-99B474A6334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7954035" y="7337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247649</xdr:colOff>
      <xdr:row>1</xdr:row>
      <xdr:rowOff>123825</xdr:rowOff>
    </xdr:from>
    <xdr:to>
      <xdr:col>15</xdr:col>
      <xdr:colOff>514350</xdr:colOff>
      <xdr:row>9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228599</xdr:colOff>
      <xdr:row>9</xdr:row>
      <xdr:rowOff>142875</xdr:rowOff>
    </xdr:from>
    <xdr:to>
      <xdr:col>15</xdr:col>
      <xdr:colOff>590550</xdr:colOff>
      <xdr:row>19</xdr:row>
      <xdr:rowOff>19050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4</xdr:row>
          <xdr:rowOff>133350</xdr:rowOff>
        </xdr:from>
        <xdr:to>
          <xdr:col>2</xdr:col>
          <xdr:colOff>590550</xdr:colOff>
          <xdr:row>5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fft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47625</xdr:colOff>
      <xdr:row>4</xdr:row>
      <xdr:rowOff>19050</xdr:rowOff>
    </xdr:from>
    <xdr:to>
      <xdr:col>23</xdr:col>
      <xdr:colOff>400050</xdr:colOff>
      <xdr:row>22</xdr:row>
      <xdr:rowOff>123825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1162050"/>
          <a:ext cx="4619625" cy="3743325"/>
        </a:xfrm>
        <a:prstGeom prst="rect">
          <a:avLst/>
        </a:prstGeom>
      </xdr:spPr>
    </xdr:pic>
    <xdr:clientData/>
  </xdr:twoCellAnchor>
  <xdr:twoCellAnchor>
    <xdr:from>
      <xdr:col>10</xdr:col>
      <xdr:colOff>352560</xdr:colOff>
      <xdr:row>3</xdr:row>
      <xdr:rowOff>171285</xdr:rowOff>
    </xdr:from>
    <xdr:to>
      <xdr:col>10</xdr:col>
      <xdr:colOff>352920</xdr:colOff>
      <xdr:row>3</xdr:row>
      <xdr:rowOff>171645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Tinta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14:cNvPr>
            <xdr14:cNvContentPartPr/>
          </xdr14:nvContentPartPr>
          <xdr14:nvPr macro=""/>
          <xdr14:xfrm>
            <a:off x="7963035" y="742785"/>
            <a:ext cx="360" cy="360"/>
          </xdr14:xfrm>
        </xdr:contentPart>
      </mc:Choice>
      <mc:Fallback xmlns="">
        <xdr:pic>
          <xdr:nvPicPr>
            <xdr:cNvPr id="6" name="Tinta 5">
              <a:extLst>
                <a:ext uri="{FF2B5EF4-FFF2-40B4-BE49-F238E27FC236}">
                  <a16:creationId xmlns:a16="http://schemas.microsoft.com/office/drawing/2014/main" id="{C35D92CC-31DD-4961-A8BA-99B474A6334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7954035" y="7337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2</xdr:row>
      <xdr:rowOff>19049</xdr:rowOff>
    </xdr:from>
    <xdr:to>
      <xdr:col>13</xdr:col>
      <xdr:colOff>63805</xdr:colOff>
      <xdr:row>26</xdr:row>
      <xdr:rowOff>122976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1A8100-7018-421D-8E6C-BAE7199D6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400049"/>
          <a:ext cx="7493305" cy="4675927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1360" units="cm"/>
          <inkml:channel name="Y" type="integer" max="768" units="cm"/>
          <inkml:channel name="T" type="integer" max="2.14748E9" units="dev"/>
        </inkml:traceFormat>
        <inkml:channelProperties>
          <inkml:channelProperty channel="X" name="resolution" value="32.92978" units="1/cm"/>
          <inkml:channelProperty channel="Y" name="resolution" value="32.82051" units="1/cm"/>
          <inkml:channelProperty channel="T" name="resolution" value="1" units="1/dev"/>
        </inkml:channelProperties>
      </inkml:inkSource>
      <inkml:timestamp xml:id="ts0" timeString="2018-05-10T06:30:11.9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ax="1360" units="cm"/>
          <inkml:channel name="Y" type="integer" max="768" units="cm"/>
          <inkml:channel name="T" type="integer" max="2.14748E9" units="dev"/>
        </inkml:traceFormat>
        <inkml:channelProperties>
          <inkml:channelProperty channel="X" name="resolution" value="32.92978" units="1/cm"/>
          <inkml:channelProperty channel="Y" name="resolution" value="32.82051" units="1/cm"/>
          <inkml:channelProperty channel="T" name="resolution" value="1" units="1/dev"/>
        </inkml:channelProperties>
      </inkml:inkSource>
      <inkml:timestamp xml:id="ts0" timeString="2018-05-10T05:52:49.3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ela18" displayName="Tabela18" ref="A2:D7" totalsRowShown="0">
  <autoFilter ref="A2:D7" xr:uid="{00000000-0009-0000-0100-000007000000}"/>
  <tableColumns count="4">
    <tableColumn id="1" xr3:uid="{00000000-0010-0000-0000-000001000000}" name="Produtos"/>
    <tableColumn id="2" xr3:uid="{00000000-0010-0000-0000-000002000000}" name="Vendas"/>
    <tableColumn id="3" xr3:uid="{00000000-0010-0000-0000-000003000000}" name="custo"/>
    <tableColumn id="4" xr3:uid="{00000000-0010-0000-0000-000004000000}" name="lucro">
      <calculatedColumnFormula>Tabela18[[#This Row],[custo]]+Tabela18[[#This Row],[Vendas]]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Tabela11" displayName="Tabela11" ref="A2:D7" totalsRowShown="0">
  <autoFilter ref="A2:D7" xr:uid="{00000000-0009-0000-0100-00000B000000}"/>
  <tableColumns count="4">
    <tableColumn id="1" xr3:uid="{00000000-0010-0000-0100-000001000000}" name="Produtos"/>
    <tableColumn id="2" xr3:uid="{00000000-0010-0000-0100-000002000000}" name="Vendas" dataDxfId="2"/>
    <tableColumn id="3" xr3:uid="{00000000-0010-0000-0100-000003000000}" name="custo" dataDxfId="1"/>
    <tableColumn id="4" xr3:uid="{00000000-0010-0000-0100-000004000000}" name="lucro" dataDxfId="0">
      <calculatedColumnFormula>Tabela11[[#This Row],[custo]]+Tabela11[[#This Row],[Vendas]]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1" displayName="Tabela1" ref="A2:B7" totalsRowShown="0">
  <autoFilter ref="A2:B7" xr:uid="{00000000-0009-0000-0100-000001000000}"/>
  <tableColumns count="2">
    <tableColumn id="1" xr3:uid="{00000000-0010-0000-0200-000001000000}" name="Produtos"/>
    <tableColumn id="2" xr3:uid="{00000000-0010-0000-0200-000002000000}" name="vend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2:D7"/>
  <sheetViews>
    <sheetView showGridLines="0" workbookViewId="0">
      <selection activeCell="A3" sqref="A3:A7"/>
    </sheetView>
  </sheetViews>
  <sheetFormatPr defaultRowHeight="15" x14ac:dyDescent="0.25"/>
  <cols>
    <col min="1" max="1" width="11.140625" customWidth="1"/>
    <col min="2" max="4" width="10.5703125" bestFit="1" customWidth="1"/>
  </cols>
  <sheetData>
    <row r="2" spans="1:4" x14ac:dyDescent="0.25">
      <c r="A2" t="s">
        <v>0</v>
      </c>
      <c r="B2" t="s">
        <v>7</v>
      </c>
      <c r="C2" t="s">
        <v>6</v>
      </c>
      <c r="D2" t="s">
        <v>8</v>
      </c>
    </row>
    <row r="3" spans="1:4" x14ac:dyDescent="0.25">
      <c r="A3" t="s">
        <v>1</v>
      </c>
      <c r="B3" s="1">
        <v>400</v>
      </c>
      <c r="C3" s="1">
        <v>-50</v>
      </c>
      <c r="D3" s="1">
        <f>Tabela18[[#This Row],[custo]]+Tabela18[[#This Row],[Vendas]]</f>
        <v>350</v>
      </c>
    </row>
    <row r="4" spans="1:4" x14ac:dyDescent="0.25">
      <c r="A4" t="s">
        <v>2</v>
      </c>
      <c r="B4" s="1">
        <v>100</v>
      </c>
      <c r="C4" s="1">
        <v>-20</v>
      </c>
      <c r="D4" s="1">
        <f>Tabela18[[#This Row],[custo]]+Tabela18[[#This Row],[Vendas]]</f>
        <v>80</v>
      </c>
    </row>
    <row r="5" spans="1:4" x14ac:dyDescent="0.25">
      <c r="A5" t="s">
        <v>3</v>
      </c>
      <c r="B5" s="1">
        <v>70</v>
      </c>
      <c r="C5" s="1">
        <v>-100</v>
      </c>
      <c r="D5" s="1">
        <f>Tabela18[[#This Row],[custo]]+Tabela18[[#This Row],[Vendas]]</f>
        <v>-30</v>
      </c>
    </row>
    <row r="6" spans="1:4" x14ac:dyDescent="0.25">
      <c r="A6" t="s">
        <v>4</v>
      </c>
      <c r="B6" s="1">
        <v>100</v>
      </c>
      <c r="C6" s="1">
        <v>-50</v>
      </c>
      <c r="D6" s="1">
        <f>Tabela18[[#This Row],[custo]]+Tabela18[[#This Row],[Vendas]]</f>
        <v>50</v>
      </c>
    </row>
    <row r="7" spans="1:4" x14ac:dyDescent="0.25">
      <c r="A7" t="s">
        <v>5</v>
      </c>
      <c r="B7" s="1">
        <v>120</v>
      </c>
      <c r="C7" s="1">
        <v>-20</v>
      </c>
      <c r="D7" s="1">
        <f>Tabela18[[#This Row],[custo]]+Tabela18[[#This Row],[Vendas]]</f>
        <v>100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2:D7"/>
  <sheetViews>
    <sheetView showGridLines="0" workbookViewId="0">
      <selection activeCell="A3" sqref="A3:A7"/>
    </sheetView>
  </sheetViews>
  <sheetFormatPr defaultRowHeight="15" x14ac:dyDescent="0.25"/>
  <cols>
    <col min="1" max="1" width="11.140625" customWidth="1"/>
    <col min="2" max="2" width="10.5703125" bestFit="1" customWidth="1"/>
    <col min="3" max="3" width="10.85546875" customWidth="1"/>
  </cols>
  <sheetData>
    <row r="2" spans="1:4" x14ac:dyDescent="0.25">
      <c r="A2" t="s">
        <v>0</v>
      </c>
      <c r="B2" t="s">
        <v>7</v>
      </c>
      <c r="C2" t="s">
        <v>6</v>
      </c>
      <c r="D2" t="s">
        <v>8</v>
      </c>
    </row>
    <row r="3" spans="1:4" x14ac:dyDescent="0.25">
      <c r="A3" t="s">
        <v>1</v>
      </c>
      <c r="B3" s="1">
        <v>400</v>
      </c>
      <c r="C3" s="1">
        <v>-50</v>
      </c>
      <c r="D3">
        <f>Tabela11[[#This Row],[custo]]+Tabela11[[#This Row],[Vendas]]</f>
        <v>350</v>
      </c>
    </row>
    <row r="4" spans="1:4" x14ac:dyDescent="0.25">
      <c r="A4" t="s">
        <v>2</v>
      </c>
      <c r="B4" s="1">
        <v>100</v>
      </c>
      <c r="C4" s="1">
        <v>-20</v>
      </c>
      <c r="D4">
        <f>Tabela11[[#This Row],[custo]]+Tabela11[[#This Row],[Vendas]]</f>
        <v>80</v>
      </c>
    </row>
    <row r="5" spans="1:4" x14ac:dyDescent="0.25">
      <c r="A5" t="s">
        <v>3</v>
      </c>
      <c r="B5" s="1">
        <v>70</v>
      </c>
      <c r="C5" s="1">
        <v>-100</v>
      </c>
      <c r="D5">
        <f>Tabela11[[#This Row],[custo]]+Tabela11[[#This Row],[Vendas]]</f>
        <v>-30</v>
      </c>
    </row>
    <row r="6" spans="1:4" x14ac:dyDescent="0.25">
      <c r="A6" t="s">
        <v>4</v>
      </c>
      <c r="B6" s="1">
        <v>100</v>
      </c>
      <c r="C6" s="1">
        <v>-50</v>
      </c>
      <c r="D6">
        <f>Tabela11[[#This Row],[custo]]+Tabela11[[#This Row],[Vendas]]</f>
        <v>50</v>
      </c>
    </row>
    <row r="7" spans="1:4" x14ac:dyDescent="0.25">
      <c r="A7" t="s">
        <v>5</v>
      </c>
      <c r="B7" s="1">
        <v>120</v>
      </c>
      <c r="C7" s="1">
        <v>-20</v>
      </c>
      <c r="D7">
        <f>Tabela11[[#This Row],[custo]]+Tabela11[[#This Row],[Vendas]]</f>
        <v>100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2:B7"/>
  <sheetViews>
    <sheetView showGridLines="0" workbookViewId="0">
      <selection activeCell="M11" sqref="M11"/>
    </sheetView>
  </sheetViews>
  <sheetFormatPr defaultRowHeight="15" x14ac:dyDescent="0.25"/>
  <cols>
    <col min="1" max="1" width="11.140625" customWidth="1"/>
    <col min="2" max="2" width="10.5703125" bestFit="1" customWidth="1"/>
  </cols>
  <sheetData>
    <row r="2" spans="1:2" x14ac:dyDescent="0.25">
      <c r="A2" t="s">
        <v>0</v>
      </c>
      <c r="B2" t="s">
        <v>9</v>
      </c>
    </row>
    <row r="3" spans="1:2" x14ac:dyDescent="0.25">
      <c r="A3" t="s">
        <v>1</v>
      </c>
      <c r="B3" s="1">
        <v>20</v>
      </c>
    </row>
    <row r="4" spans="1:2" x14ac:dyDescent="0.25">
      <c r="A4" t="s">
        <v>2</v>
      </c>
      <c r="B4" s="1">
        <v>50</v>
      </c>
    </row>
    <row r="5" spans="1:2" x14ac:dyDescent="0.25">
      <c r="A5" t="s">
        <v>3</v>
      </c>
      <c r="B5" s="1">
        <v>70</v>
      </c>
    </row>
    <row r="6" spans="1:2" x14ac:dyDescent="0.25">
      <c r="A6" t="s">
        <v>4</v>
      </c>
      <c r="B6" s="1">
        <v>100</v>
      </c>
    </row>
    <row r="7" spans="1:2" x14ac:dyDescent="0.25">
      <c r="A7" t="s">
        <v>5</v>
      </c>
      <c r="B7" s="1">
        <v>120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K108"/>
  <sheetViews>
    <sheetView showGridLines="0" topLeftCell="C1" workbookViewId="0">
      <selection activeCell="D4" sqref="D4"/>
    </sheetView>
  </sheetViews>
  <sheetFormatPr defaultRowHeight="15" x14ac:dyDescent="0.25"/>
  <cols>
    <col min="1" max="1" width="10.140625" customWidth="1"/>
    <col min="3" max="3" width="11.42578125" customWidth="1"/>
    <col min="4" max="4" width="15" customWidth="1"/>
    <col min="5" max="5" width="17" customWidth="1"/>
    <col min="6" max="6" width="17.140625" customWidth="1"/>
    <col min="7" max="7" width="11.28515625" bestFit="1" customWidth="1"/>
  </cols>
  <sheetData>
    <row r="1" spans="1:11" ht="18.75" x14ac:dyDescent="0.3">
      <c r="A1" t="s">
        <v>21</v>
      </c>
      <c r="D1" s="7" t="s">
        <v>18</v>
      </c>
      <c r="E1" s="8" t="s">
        <v>19</v>
      </c>
      <c r="G1" t="s">
        <v>33</v>
      </c>
      <c r="H1">
        <f>E3</f>
        <v>10</v>
      </c>
      <c r="K1" s="27" t="str">
        <f>"y="&amp;D3&amp;"*sen("&amp;E3&amp;" t)"</f>
        <v>y=1666620*sen(10 t)</v>
      </c>
    </row>
    <row r="2" spans="1:11" x14ac:dyDescent="0.25">
      <c r="A2">
        <f>$D$3*SIN(B9*$E$3*2*PI())+$D$3*SIN(B9*30*2*PI())</f>
        <v>1160810.8621892263</v>
      </c>
      <c r="D2" s="5" t="s">
        <v>16</v>
      </c>
      <c r="E2" s="5" t="s">
        <v>17</v>
      </c>
      <c r="F2" s="4" t="s">
        <v>26</v>
      </c>
    </row>
    <row r="3" spans="1:11" x14ac:dyDescent="0.25">
      <c r="A3" s="9" t="s">
        <v>10</v>
      </c>
      <c r="B3" s="9"/>
      <c r="D3" s="6">
        <v>1666620</v>
      </c>
      <c r="E3" s="6">
        <v>10</v>
      </c>
      <c r="F3" s="3" t="s">
        <v>22</v>
      </c>
    </row>
    <row r="4" spans="1:11" ht="45" x14ac:dyDescent="0.3">
      <c r="A4" s="10" t="s">
        <v>20</v>
      </c>
      <c r="B4" s="9"/>
      <c r="D4" s="5" t="s">
        <v>14</v>
      </c>
      <c r="E4" s="11" t="s">
        <v>27</v>
      </c>
      <c r="F4" s="26" t="s">
        <v>28</v>
      </c>
    </row>
    <row r="5" spans="1:11" x14ac:dyDescent="0.25">
      <c r="D5" s="6">
        <v>1</v>
      </c>
      <c r="E5" s="6">
        <f>F5/D5</f>
        <v>32</v>
      </c>
      <c r="F5" s="6">
        <v>32</v>
      </c>
    </row>
    <row r="6" spans="1:11" x14ac:dyDescent="0.25">
      <c r="E6" t="s">
        <v>23</v>
      </c>
      <c r="F6" s="9" t="s">
        <v>29</v>
      </c>
    </row>
    <row r="7" spans="1:11" ht="31.5" x14ac:dyDescent="0.25">
      <c r="A7" s="21" t="s">
        <v>15</v>
      </c>
      <c r="B7" s="22" t="s">
        <v>25</v>
      </c>
      <c r="C7" s="25" t="s">
        <v>30</v>
      </c>
      <c r="D7" s="25" t="s">
        <v>31</v>
      </c>
      <c r="E7" s="23" t="s">
        <v>11</v>
      </c>
      <c r="F7" s="24" t="s">
        <v>12</v>
      </c>
    </row>
    <row r="8" spans="1:11" ht="18.75" x14ac:dyDescent="0.3">
      <c r="A8" s="14">
        <v>1</v>
      </c>
      <c r="B8" s="15">
        <v>0</v>
      </c>
      <c r="C8">
        <v>0</v>
      </c>
      <c r="D8" t="s">
        <v>34</v>
      </c>
      <c r="E8" s="16">
        <v>0</v>
      </c>
      <c r="F8" s="17">
        <f>IMABS(D8)/(($F$5/2)+1)</f>
        <v>139611.5593012406</v>
      </c>
      <c r="G8" s="12">
        <v>2488274</v>
      </c>
      <c r="H8">
        <f>G8-1634380</f>
        <v>853894</v>
      </c>
    </row>
    <row r="9" spans="1:11" ht="18.75" x14ac:dyDescent="0.3">
      <c r="A9" s="18">
        <v>2</v>
      </c>
      <c r="B9" s="19">
        <f>A8*$D$5/($F$5-1)</f>
        <v>3.2258064516129031E-2</v>
      </c>
      <c r="C9" s="29">
        <f>$D$3*SIN(B9*$E$3*2*PI())+689493*SIN(B9*2*PI())</f>
        <v>1635092.9222508797</v>
      </c>
      <c r="D9" t="s">
        <v>35</v>
      </c>
      <c r="E9" s="20">
        <f>A8*($E$5)/(($F$5-1))</f>
        <v>1.032258064516129</v>
      </c>
      <c r="F9" s="17">
        <f t="shared" ref="F9:F72" si="0">IMABS(D9)/(($F$5/2)+1)</f>
        <v>1666637.1016924479</v>
      </c>
      <c r="G9" s="12">
        <v>3149579</v>
      </c>
      <c r="H9">
        <f>G9-1634380</f>
        <v>1515199</v>
      </c>
    </row>
    <row r="10" spans="1:11" ht="18.75" x14ac:dyDescent="0.3">
      <c r="A10" s="14">
        <v>3</v>
      </c>
      <c r="B10" s="19">
        <f t="shared" ref="B10:B71" si="1">A9*$D$5/($F$5-1)</f>
        <v>6.4516129032258063E-2</v>
      </c>
      <c r="C10" s="29">
        <f t="shared" ref="C10:C73" si="2">$D$3*SIN(B10*$E$3*2*PI())+689493*SIN(B10*2*PI())</f>
        <v>-1046017.0570854601</v>
      </c>
      <c r="D10" t="s">
        <v>36</v>
      </c>
      <c r="E10" s="20">
        <f t="shared" ref="E10:E73" si="3">A9*($E$5)/(($F$5-1))</f>
        <v>2.064516129032258</v>
      </c>
      <c r="F10" s="17">
        <f t="shared" si="0"/>
        <v>1154241.0724927036</v>
      </c>
      <c r="G10" s="12">
        <v>1484474</v>
      </c>
      <c r="H10">
        <f t="shared" ref="H10:H43" si="4">G10-1634380</f>
        <v>-149906</v>
      </c>
    </row>
    <row r="11" spans="1:11" ht="18.75" x14ac:dyDescent="0.3">
      <c r="A11" s="18">
        <v>4</v>
      </c>
      <c r="B11" s="19">
        <f t="shared" si="1"/>
        <v>9.6774193548387094E-2</v>
      </c>
      <c r="C11" s="29">
        <f t="shared" si="2"/>
        <v>58397.295880190621</v>
      </c>
      <c r="D11" t="s">
        <v>37</v>
      </c>
      <c r="E11" s="20">
        <f t="shared" si="3"/>
        <v>3.096774193548387</v>
      </c>
      <c r="F11" s="17">
        <f t="shared" si="0"/>
        <v>814855.47871477029</v>
      </c>
      <c r="G11" s="12">
        <v>628515</v>
      </c>
      <c r="H11">
        <f t="shared" si="4"/>
        <v>-1005865</v>
      </c>
    </row>
    <row r="12" spans="1:11" ht="18.75" x14ac:dyDescent="0.3">
      <c r="A12" s="14">
        <v>5</v>
      </c>
      <c r="B12" s="19">
        <f t="shared" si="1"/>
        <v>0.12903225806451613</v>
      </c>
      <c r="C12" s="29">
        <f t="shared" si="2"/>
        <v>2113156.2410897608</v>
      </c>
      <c r="D12" t="s">
        <v>38</v>
      </c>
      <c r="E12" s="20">
        <f t="shared" si="3"/>
        <v>4.129032258064516</v>
      </c>
      <c r="F12" s="17">
        <f t="shared" si="0"/>
        <v>347119.73890983331</v>
      </c>
      <c r="G12" s="12">
        <v>3045999</v>
      </c>
      <c r="H12">
        <f t="shared" si="4"/>
        <v>1411619</v>
      </c>
    </row>
    <row r="13" spans="1:11" ht="18.75" x14ac:dyDescent="0.3">
      <c r="A13" s="18">
        <v>6</v>
      </c>
      <c r="B13" s="19">
        <f t="shared" si="1"/>
        <v>0.16129032258064516</v>
      </c>
      <c r="C13" s="29">
        <f t="shared" si="2"/>
        <v>-500456.13212167937</v>
      </c>
      <c r="D13" t="s">
        <v>39</v>
      </c>
      <c r="E13" s="20">
        <f t="shared" si="3"/>
        <v>5.161290322580645</v>
      </c>
      <c r="F13" s="17">
        <f t="shared" si="0"/>
        <v>295772.8400093228</v>
      </c>
      <c r="G13" s="12">
        <v>1470181</v>
      </c>
      <c r="H13">
        <f t="shared" si="4"/>
        <v>-164199</v>
      </c>
    </row>
    <row r="14" spans="1:11" ht="18.75" x14ac:dyDescent="0.3">
      <c r="A14" s="14">
        <v>7</v>
      </c>
      <c r="B14" s="19">
        <f t="shared" si="1"/>
        <v>0.19354838709677419</v>
      </c>
      <c r="C14" s="29">
        <f t="shared" si="2"/>
        <v>-10667.824398472672</v>
      </c>
      <c r="D14" t="s">
        <v>40</v>
      </c>
      <c r="E14" s="20">
        <f t="shared" si="3"/>
        <v>6.193548387096774</v>
      </c>
      <c r="F14" s="17">
        <f t="shared" si="0"/>
        <v>82128.1983452844</v>
      </c>
      <c r="G14" s="12">
        <v>2547934</v>
      </c>
      <c r="H14">
        <f t="shared" si="4"/>
        <v>913554</v>
      </c>
    </row>
    <row r="15" spans="1:11" ht="18.75" x14ac:dyDescent="0.3">
      <c r="A15" s="18">
        <v>8</v>
      </c>
      <c r="B15" s="19">
        <f t="shared" si="1"/>
        <v>0.22580645161290322</v>
      </c>
      <c r="C15" s="29">
        <f t="shared" si="2"/>
        <v>2346022.8955273828</v>
      </c>
      <c r="D15" t="s">
        <v>41</v>
      </c>
      <c r="E15" s="20">
        <f t="shared" si="3"/>
        <v>7.225806451612903</v>
      </c>
      <c r="F15" s="17">
        <f t="shared" si="0"/>
        <v>106053.21555300313</v>
      </c>
      <c r="G15" s="12">
        <v>1598457</v>
      </c>
      <c r="H15">
        <f t="shared" si="4"/>
        <v>-35923</v>
      </c>
    </row>
    <row r="16" spans="1:11" ht="18.75" x14ac:dyDescent="0.3">
      <c r="A16" s="14">
        <v>9</v>
      </c>
      <c r="B16" s="19">
        <f t="shared" si="1"/>
        <v>0.25806451612903225</v>
      </c>
      <c r="C16" s="29">
        <f t="shared" si="2"/>
        <v>-120205.91611466056</v>
      </c>
      <c r="D16" t="s">
        <v>42</v>
      </c>
      <c r="E16" s="20">
        <f t="shared" si="3"/>
        <v>8.258064516129032</v>
      </c>
      <c r="F16" s="17">
        <f t="shared" si="0"/>
        <v>112266.22464031765</v>
      </c>
      <c r="G16" s="12">
        <v>2445448</v>
      </c>
      <c r="H16">
        <f t="shared" si="4"/>
        <v>811068</v>
      </c>
    </row>
    <row r="17" spans="1:9" ht="18.75" x14ac:dyDescent="0.3">
      <c r="A17" s="18">
        <v>10</v>
      </c>
      <c r="B17" s="19">
        <f t="shared" si="1"/>
        <v>0.29032258064516131</v>
      </c>
      <c r="C17" s="29">
        <f t="shared" si="2"/>
        <v>-284604.63572286896</v>
      </c>
      <c r="D17" t="s">
        <v>43</v>
      </c>
      <c r="E17" s="20">
        <f t="shared" si="3"/>
        <v>9.2903225806451619</v>
      </c>
      <c r="F17" s="17">
        <f t="shared" si="0"/>
        <v>257798.16833662882</v>
      </c>
      <c r="G17" s="12">
        <v>1851053</v>
      </c>
      <c r="H17">
        <f t="shared" si="4"/>
        <v>216673</v>
      </c>
    </row>
    <row r="18" spans="1:9" ht="18.75" x14ac:dyDescent="0.3">
      <c r="A18" s="14">
        <v>11</v>
      </c>
      <c r="B18" s="19">
        <f t="shared" si="1"/>
        <v>0.32258064516129031</v>
      </c>
      <c r="C18" s="29">
        <f t="shared" si="2"/>
        <v>2266431.0240939655</v>
      </c>
      <c r="D18" t="s">
        <v>44</v>
      </c>
      <c r="E18" s="20">
        <f t="shared" si="3"/>
        <v>10.32258064516129</v>
      </c>
      <c r="F18" s="17">
        <f t="shared" si="0"/>
        <v>689493.21272659174</v>
      </c>
      <c r="G18" s="12">
        <v>1020211</v>
      </c>
      <c r="H18">
        <f t="shared" si="4"/>
        <v>-614169</v>
      </c>
    </row>
    <row r="19" spans="1:9" ht="18.75" x14ac:dyDescent="0.3">
      <c r="A19" s="18">
        <v>12</v>
      </c>
      <c r="B19" s="19">
        <f t="shared" si="1"/>
        <v>0.35483870967741937</v>
      </c>
      <c r="C19" s="29">
        <f t="shared" si="2"/>
        <v>46309.767178524693</v>
      </c>
      <c r="D19" t="s">
        <v>45</v>
      </c>
      <c r="E19" s="20">
        <f t="shared" si="3"/>
        <v>11.35483870967742</v>
      </c>
      <c r="F19" s="17">
        <f t="shared" si="0"/>
        <v>532548.23725597095</v>
      </c>
      <c r="G19" s="12">
        <v>1773940</v>
      </c>
      <c r="H19">
        <f t="shared" si="4"/>
        <v>139560</v>
      </c>
    </row>
    <row r="20" spans="1:9" ht="18.75" x14ac:dyDescent="0.3">
      <c r="A20" s="14">
        <v>13</v>
      </c>
      <c r="B20" s="19">
        <f t="shared" si="1"/>
        <v>0.38709677419354838</v>
      </c>
      <c r="C20" s="29">
        <f t="shared" si="2"/>
        <v>-758837.3878222038</v>
      </c>
      <c r="D20" t="s">
        <v>46</v>
      </c>
      <c r="E20" s="20">
        <f t="shared" si="3"/>
        <v>12.387096774193548</v>
      </c>
      <c r="F20" s="17">
        <f t="shared" si="0"/>
        <v>263856.95545051584</v>
      </c>
      <c r="G20" s="12">
        <v>1462872</v>
      </c>
      <c r="H20">
        <f t="shared" si="4"/>
        <v>-171508</v>
      </c>
    </row>
    <row r="21" spans="1:9" ht="18.75" x14ac:dyDescent="0.3">
      <c r="A21" s="18">
        <v>14</v>
      </c>
      <c r="B21" s="19">
        <f t="shared" si="1"/>
        <v>0.41935483870967744</v>
      </c>
      <c r="C21" s="29">
        <f t="shared" si="2"/>
        <v>1897488.7645304082</v>
      </c>
      <c r="D21" t="s">
        <v>47</v>
      </c>
      <c r="E21" s="20">
        <f t="shared" si="3"/>
        <v>13.419354838709678</v>
      </c>
      <c r="F21" s="17">
        <f t="shared" si="0"/>
        <v>348960.02705786878</v>
      </c>
      <c r="G21" s="12">
        <v>2412379</v>
      </c>
      <c r="H21">
        <f t="shared" si="4"/>
        <v>777999</v>
      </c>
    </row>
    <row r="22" spans="1:9" ht="18.75" x14ac:dyDescent="0.3">
      <c r="A22" s="14">
        <v>15</v>
      </c>
      <c r="B22" s="19">
        <f t="shared" si="1"/>
        <v>0.45161290322580644</v>
      </c>
      <c r="C22" s="29">
        <f t="shared" si="2"/>
        <v>37799.628957583802</v>
      </c>
      <c r="D22" t="s">
        <v>48</v>
      </c>
      <c r="E22" s="20">
        <f t="shared" si="3"/>
        <v>14.451612903225806</v>
      </c>
      <c r="F22" s="17">
        <f t="shared" si="0"/>
        <v>360088.13253300736</v>
      </c>
      <c r="G22" s="12">
        <v>3150781</v>
      </c>
      <c r="H22">
        <f t="shared" si="4"/>
        <v>1516401</v>
      </c>
    </row>
    <row r="23" spans="1:9" ht="18.75" x14ac:dyDescent="0.3">
      <c r="A23" s="18">
        <v>16</v>
      </c>
      <c r="B23" s="19">
        <f t="shared" si="1"/>
        <v>0.4838709677419355</v>
      </c>
      <c r="C23" s="29">
        <f t="shared" si="2"/>
        <v>-1344612.6425938215</v>
      </c>
      <c r="D23" t="s">
        <v>49</v>
      </c>
      <c r="E23" s="20">
        <f t="shared" si="3"/>
        <v>15.483870967741936</v>
      </c>
      <c r="F23" s="17">
        <f t="shared" si="0"/>
        <v>404054.70707129833</v>
      </c>
      <c r="G23" s="12">
        <v>1095571</v>
      </c>
      <c r="H23">
        <f t="shared" si="4"/>
        <v>-538809</v>
      </c>
    </row>
    <row r="24" spans="1:9" ht="18.75" x14ac:dyDescent="0.3">
      <c r="A24" s="14">
        <v>17</v>
      </c>
      <c r="B24" s="19">
        <f t="shared" si="1"/>
        <v>0.5161290322580645</v>
      </c>
      <c r="C24" s="29">
        <f t="shared" si="2"/>
        <v>1344612.6425938224</v>
      </c>
      <c r="D24" t="s">
        <v>50</v>
      </c>
      <c r="E24" s="20">
        <f t="shared" si="3"/>
        <v>16.516129032258064</v>
      </c>
      <c r="F24" s="17">
        <f t="shared" si="0"/>
        <v>98606.969486706483</v>
      </c>
      <c r="G24" s="13">
        <v>1500683</v>
      </c>
      <c r="H24">
        <f t="shared" si="4"/>
        <v>-133697</v>
      </c>
    </row>
    <row r="25" spans="1:9" ht="18.75" x14ac:dyDescent="0.3">
      <c r="A25" s="18">
        <v>18</v>
      </c>
      <c r="B25" s="19">
        <f t="shared" si="1"/>
        <v>0.54838709677419351</v>
      </c>
      <c r="C25" s="29">
        <f t="shared" si="2"/>
        <v>-37799.628957573412</v>
      </c>
      <c r="D25" t="s">
        <v>51</v>
      </c>
      <c r="E25" s="20">
        <f t="shared" si="3"/>
        <v>17.548387096774192</v>
      </c>
      <c r="F25" s="17">
        <f t="shared" si="0"/>
        <v>424017.71562251524</v>
      </c>
      <c r="G25" s="13">
        <v>677692</v>
      </c>
      <c r="H25">
        <f t="shared" si="4"/>
        <v>-956688</v>
      </c>
      <c r="I25" t="s">
        <v>24</v>
      </c>
    </row>
    <row r="26" spans="1:9" ht="18.75" x14ac:dyDescent="0.3">
      <c r="A26" s="14">
        <v>19</v>
      </c>
      <c r="B26" s="19">
        <f t="shared" si="1"/>
        <v>0.58064516129032262</v>
      </c>
      <c r="C26" s="29">
        <f t="shared" si="2"/>
        <v>-1897488.7645304119</v>
      </c>
      <c r="D26" t="s">
        <v>52</v>
      </c>
      <c r="E26" s="20">
        <f t="shared" si="3"/>
        <v>18.580645161290324</v>
      </c>
      <c r="F26" s="17">
        <f t="shared" si="0"/>
        <v>152393.13757783623</v>
      </c>
      <c r="G26" s="13">
        <v>2216576</v>
      </c>
      <c r="H26">
        <f t="shared" si="4"/>
        <v>582196</v>
      </c>
    </row>
    <row r="27" spans="1:9" ht="18.75" x14ac:dyDescent="0.3">
      <c r="A27" s="18">
        <v>20</v>
      </c>
      <c r="B27" s="19">
        <f t="shared" si="1"/>
        <v>0.61290322580645162</v>
      </c>
      <c r="C27" s="29">
        <f t="shared" si="2"/>
        <v>758837.38782219694</v>
      </c>
      <c r="D27" t="s">
        <v>53</v>
      </c>
      <c r="E27" s="20">
        <f t="shared" si="3"/>
        <v>19.612903225806452</v>
      </c>
      <c r="F27" s="17">
        <f t="shared" si="0"/>
        <v>229672.85127797569</v>
      </c>
      <c r="G27" s="13">
        <v>3193023</v>
      </c>
      <c r="H27" s="28">
        <f>G27-1634380</f>
        <v>1558643</v>
      </c>
    </row>
    <row r="28" spans="1:9" ht="18.75" x14ac:dyDescent="0.3">
      <c r="A28" s="14">
        <v>21</v>
      </c>
      <c r="B28" s="19">
        <f t="shared" si="1"/>
        <v>0.64516129032258063</v>
      </c>
      <c r="C28" s="29">
        <f t="shared" si="2"/>
        <v>-46309.767178515205</v>
      </c>
      <c r="D28" t="s">
        <v>54</v>
      </c>
      <c r="E28" s="20">
        <f t="shared" si="3"/>
        <v>20.64516129032258</v>
      </c>
      <c r="F28" s="17">
        <f t="shared" si="0"/>
        <v>1171487.70808003</v>
      </c>
      <c r="G28" s="13">
        <v>1938130</v>
      </c>
      <c r="H28">
        <f t="shared" si="4"/>
        <v>303750</v>
      </c>
    </row>
    <row r="29" spans="1:9" ht="18.75" x14ac:dyDescent="0.3">
      <c r="A29" s="18">
        <v>22</v>
      </c>
      <c r="B29" s="19">
        <f t="shared" si="1"/>
        <v>0.67741935483870963</v>
      </c>
      <c r="C29" s="29">
        <f t="shared" si="2"/>
        <v>-2266431.0240939683</v>
      </c>
      <c r="D29" t="s">
        <v>55</v>
      </c>
      <c r="E29" s="20">
        <f t="shared" si="3"/>
        <v>21.677419354838708</v>
      </c>
      <c r="F29" s="17">
        <f t="shared" si="0"/>
        <v>1636986.6272441398</v>
      </c>
      <c r="G29" s="13">
        <v>348819</v>
      </c>
      <c r="H29">
        <f t="shared" si="4"/>
        <v>-1285561</v>
      </c>
    </row>
    <row r="30" spans="1:9" ht="18.75" x14ac:dyDescent="0.3">
      <c r="A30" s="14">
        <v>23</v>
      </c>
      <c r="B30" s="19">
        <f t="shared" si="1"/>
        <v>0.70967741935483875</v>
      </c>
      <c r="C30" s="29">
        <f t="shared" si="2"/>
        <v>284604.63572287047</v>
      </c>
      <c r="D30" t="s">
        <v>56</v>
      </c>
      <c r="E30" s="20">
        <f t="shared" si="3"/>
        <v>22.70967741935484</v>
      </c>
      <c r="F30" s="17">
        <f t="shared" si="0"/>
        <v>500038.47824509203</v>
      </c>
      <c r="G30" s="13">
        <v>861749</v>
      </c>
      <c r="H30">
        <f t="shared" si="4"/>
        <v>-772631</v>
      </c>
    </row>
    <row r="31" spans="1:9" ht="18.75" x14ac:dyDescent="0.3">
      <c r="A31" s="18">
        <v>24</v>
      </c>
      <c r="B31" s="19">
        <f t="shared" si="1"/>
        <v>0.74193548387096775</v>
      </c>
      <c r="C31" s="29">
        <f t="shared" si="2"/>
        <v>120205.91611465893</v>
      </c>
      <c r="D31" t="s">
        <v>57</v>
      </c>
      <c r="E31" s="20">
        <f t="shared" si="3"/>
        <v>23.741935483870968</v>
      </c>
      <c r="F31" s="17">
        <f t="shared" si="0"/>
        <v>69610.632311162699</v>
      </c>
      <c r="G31" s="13">
        <v>1004228</v>
      </c>
      <c r="H31">
        <f t="shared" si="4"/>
        <v>-630152</v>
      </c>
    </row>
    <row r="32" spans="1:9" x14ac:dyDescent="0.25">
      <c r="A32" s="14">
        <v>25</v>
      </c>
      <c r="B32" s="19">
        <f t="shared" si="1"/>
        <v>0.77419354838709675</v>
      </c>
      <c r="C32" s="29">
        <f t="shared" si="2"/>
        <v>-2346022.8955273824</v>
      </c>
      <c r="D32" t="s">
        <v>58</v>
      </c>
      <c r="E32" s="20">
        <f t="shared" si="3"/>
        <v>24.774193548387096</v>
      </c>
      <c r="F32" s="17">
        <f t="shared" si="0"/>
        <v>507188.17520776053</v>
      </c>
      <c r="G32">
        <v>207153</v>
      </c>
      <c r="H32">
        <f t="shared" si="4"/>
        <v>-1427227</v>
      </c>
    </row>
    <row r="33" spans="1:9" ht="18.75" x14ac:dyDescent="0.3">
      <c r="A33" s="18">
        <v>26</v>
      </c>
      <c r="B33" s="19">
        <f t="shared" si="1"/>
        <v>0.80645161290322576</v>
      </c>
      <c r="C33" s="29">
        <f t="shared" si="2"/>
        <v>10667.82439846592</v>
      </c>
      <c r="D33" t="s">
        <v>59</v>
      </c>
      <c r="E33" s="20">
        <f t="shared" si="3"/>
        <v>25.806451612903224</v>
      </c>
      <c r="F33" s="17">
        <f t="shared" si="0"/>
        <v>235032.75226056087</v>
      </c>
      <c r="G33" s="13">
        <v>2039138</v>
      </c>
      <c r="H33">
        <f t="shared" si="4"/>
        <v>404758</v>
      </c>
    </row>
    <row r="34" spans="1:9" ht="18.75" x14ac:dyDescent="0.3">
      <c r="A34" s="14">
        <v>27</v>
      </c>
      <c r="B34" s="19">
        <f t="shared" si="1"/>
        <v>0.83870967741935487</v>
      </c>
      <c r="C34" s="29">
        <f t="shared" si="2"/>
        <v>500456.13212168915</v>
      </c>
      <c r="D34" t="s">
        <v>60</v>
      </c>
      <c r="E34" s="20">
        <f t="shared" si="3"/>
        <v>26.838709677419356</v>
      </c>
      <c r="F34" s="17">
        <f t="shared" si="0"/>
        <v>388408.29930342623</v>
      </c>
      <c r="G34" s="13">
        <v>2274437</v>
      </c>
      <c r="H34">
        <f t="shared" si="4"/>
        <v>640057</v>
      </c>
    </row>
    <row r="35" spans="1:9" ht="18.75" x14ac:dyDescent="0.3">
      <c r="A35" s="18">
        <v>28</v>
      </c>
      <c r="B35" s="19">
        <f t="shared" si="1"/>
        <v>0.87096774193548387</v>
      </c>
      <c r="C35" s="29">
        <f t="shared" si="2"/>
        <v>-2113156.2410897575</v>
      </c>
      <c r="D35" t="s">
        <v>61</v>
      </c>
      <c r="E35" s="20">
        <f t="shared" si="3"/>
        <v>27.870967741935484</v>
      </c>
      <c r="F35" s="17">
        <f t="shared" si="0"/>
        <v>500361.9866824529</v>
      </c>
      <c r="G35" s="13">
        <v>375793</v>
      </c>
      <c r="H35">
        <f t="shared" si="4"/>
        <v>-1258587</v>
      </c>
    </row>
    <row r="36" spans="1:9" ht="18.75" x14ac:dyDescent="0.3">
      <c r="A36" s="14">
        <v>29</v>
      </c>
      <c r="B36" s="19">
        <f t="shared" si="1"/>
        <v>0.90322580645161288</v>
      </c>
      <c r="C36" s="29">
        <f t="shared" si="2"/>
        <v>-58397.295880207734</v>
      </c>
      <c r="D36" t="s">
        <v>62</v>
      </c>
      <c r="E36" s="20">
        <f t="shared" si="3"/>
        <v>28.903225806451612</v>
      </c>
      <c r="F36" s="17">
        <f t="shared" si="0"/>
        <v>221226.03671704495</v>
      </c>
      <c r="G36" s="13">
        <v>1573513</v>
      </c>
      <c r="H36">
        <f t="shared" si="4"/>
        <v>-60867</v>
      </c>
    </row>
    <row r="37" spans="1:9" ht="18.75" x14ac:dyDescent="0.3">
      <c r="A37" s="18">
        <v>30</v>
      </c>
      <c r="B37" s="19">
        <f t="shared" si="1"/>
        <v>0.93548387096774188</v>
      </c>
      <c r="C37" s="29">
        <f t="shared" si="2"/>
        <v>1046017.0570854724</v>
      </c>
      <c r="D37" t="s">
        <v>63</v>
      </c>
      <c r="E37" s="20">
        <f t="shared" si="3"/>
        <v>29.93548387096774</v>
      </c>
      <c r="F37" s="17">
        <f t="shared" si="0"/>
        <v>260217.44302873017</v>
      </c>
      <c r="G37" s="13">
        <v>367707</v>
      </c>
      <c r="H37">
        <f t="shared" si="4"/>
        <v>-1266673</v>
      </c>
    </row>
    <row r="38" spans="1:9" ht="18.75" x14ac:dyDescent="0.3">
      <c r="A38" s="14">
        <v>31</v>
      </c>
      <c r="B38" s="19">
        <f t="shared" si="1"/>
        <v>0.967741935483871</v>
      </c>
      <c r="C38" s="29">
        <f>$D$3*SIN(B38*$E$3*2*PI())+689493*SIN(B38*2*PI())</f>
        <v>-1635092.9222508797</v>
      </c>
      <c r="D38" t="s">
        <v>64</v>
      </c>
      <c r="E38" s="20">
        <f t="shared" si="3"/>
        <v>30.967741935483872</v>
      </c>
      <c r="F38" s="17">
        <f t="shared" si="0"/>
        <v>238275.65577454973</v>
      </c>
      <c r="G38" s="13">
        <v>2168029</v>
      </c>
      <c r="H38">
        <f t="shared" si="4"/>
        <v>533649</v>
      </c>
    </row>
    <row r="39" spans="1:9" ht="18.75" x14ac:dyDescent="0.3">
      <c r="A39" s="18">
        <v>32</v>
      </c>
      <c r="B39" s="19">
        <f t="shared" si="1"/>
        <v>1</v>
      </c>
      <c r="C39" s="29">
        <f t="shared" ref="C39:C40" si="5">$D$3*SIN(B39*$E$3*2*PI())+689493*SIN(B39*2*PI())</f>
        <v>-4.2526600925636704E-9</v>
      </c>
      <c r="D39" t="s">
        <v>65</v>
      </c>
      <c r="E39" s="20">
        <f t="shared" si="3"/>
        <v>32</v>
      </c>
      <c r="F39" s="17">
        <f t="shared" si="0"/>
        <v>224933.49476767544</v>
      </c>
      <c r="G39" s="13">
        <v>1162863</v>
      </c>
      <c r="H39">
        <f t="shared" si="4"/>
        <v>-471517</v>
      </c>
    </row>
    <row r="40" spans="1:9" x14ac:dyDescent="0.25">
      <c r="A40" s="14">
        <v>33</v>
      </c>
      <c r="B40" s="19">
        <f t="shared" si="1"/>
        <v>1.032258064516129</v>
      </c>
      <c r="C40" s="29">
        <f t="shared" si="5"/>
        <v>1635092.9222508781</v>
      </c>
      <c r="D40" t="s">
        <v>66</v>
      </c>
      <c r="E40" s="20">
        <f t="shared" si="3"/>
        <v>33.032258064516128</v>
      </c>
      <c r="F40" s="17">
        <f t="shared" si="0"/>
        <v>503228.79188055766</v>
      </c>
      <c r="H40">
        <f t="shared" si="4"/>
        <v>-1634380</v>
      </c>
    </row>
    <row r="41" spans="1:9" x14ac:dyDescent="0.25">
      <c r="A41" s="18">
        <v>34</v>
      </c>
      <c r="B41" s="19">
        <f t="shared" si="1"/>
        <v>1.064516129032258</v>
      </c>
      <c r="C41" s="29">
        <f t="shared" si="2"/>
        <v>-1046017.0570854532</v>
      </c>
      <c r="D41" t="s">
        <v>67</v>
      </c>
      <c r="E41" s="20">
        <f t="shared" si="3"/>
        <v>34.064516129032256</v>
      </c>
      <c r="F41" s="17">
        <f t="shared" si="0"/>
        <v>224933.49476767381</v>
      </c>
      <c r="H41">
        <f t="shared" si="4"/>
        <v>-1634380</v>
      </c>
    </row>
    <row r="42" spans="1:9" x14ac:dyDescent="0.25">
      <c r="A42" s="14">
        <v>35</v>
      </c>
      <c r="B42" s="19">
        <f t="shared" si="1"/>
        <v>1.096774193548387</v>
      </c>
      <c r="C42" s="29">
        <f t="shared" si="2"/>
        <v>58397.295880187361</v>
      </c>
      <c r="D42" t="s">
        <v>68</v>
      </c>
      <c r="E42" s="20">
        <f t="shared" si="3"/>
        <v>35.096774193548384</v>
      </c>
      <c r="F42" s="17">
        <f t="shared" si="0"/>
        <v>238275.65577454865</v>
      </c>
      <c r="H42">
        <f t="shared" si="4"/>
        <v>-1634380</v>
      </c>
    </row>
    <row r="43" spans="1:9" x14ac:dyDescent="0.25">
      <c r="A43" s="18">
        <v>36</v>
      </c>
      <c r="B43" s="19">
        <f t="shared" si="1"/>
        <v>1.1290322580645162</v>
      </c>
      <c r="C43" s="29">
        <f t="shared" si="2"/>
        <v>2113156.2410897599</v>
      </c>
      <c r="D43" t="s">
        <v>69</v>
      </c>
      <c r="E43" s="20">
        <f t="shared" si="3"/>
        <v>36.12903225806452</v>
      </c>
      <c r="F43" s="17">
        <f t="shared" si="0"/>
        <v>260217.44302873017</v>
      </c>
      <c r="H43">
        <f t="shared" si="4"/>
        <v>-1634380</v>
      </c>
    </row>
    <row r="44" spans="1:9" ht="18.75" x14ac:dyDescent="0.3">
      <c r="A44" s="14">
        <v>37</v>
      </c>
      <c r="B44" s="19">
        <f t="shared" si="1"/>
        <v>1.1612903225806452</v>
      </c>
      <c r="C44" s="29">
        <f t="shared" si="2"/>
        <v>-500456.1321216739</v>
      </c>
      <c r="D44" t="s">
        <v>70</v>
      </c>
      <c r="E44" s="20">
        <f t="shared" si="3"/>
        <v>37.161290322580648</v>
      </c>
      <c r="F44" s="17">
        <f t="shared" si="0"/>
        <v>221226.03671704564</v>
      </c>
      <c r="H44" s="12">
        <v>1461568</v>
      </c>
      <c r="I44">
        <f>H44-1634380</f>
        <v>-172812</v>
      </c>
    </row>
    <row r="45" spans="1:9" ht="18.75" x14ac:dyDescent="0.3">
      <c r="A45" s="18">
        <v>38</v>
      </c>
      <c r="B45" s="19">
        <f t="shared" si="1"/>
        <v>1.1935483870967742</v>
      </c>
      <c r="C45" s="29">
        <f t="shared" si="2"/>
        <v>-10667.82439847372</v>
      </c>
      <c r="D45" t="s">
        <v>71</v>
      </c>
      <c r="E45" s="20">
        <f t="shared" si="3"/>
        <v>38.193548387096776</v>
      </c>
      <c r="F45" s="17">
        <f t="shared" si="0"/>
        <v>500361.98668245348</v>
      </c>
      <c r="H45" s="12">
        <v>1287911</v>
      </c>
      <c r="I45">
        <f t="shared" ref="I45:I108" si="6">H45-1634380</f>
        <v>-346469</v>
      </c>
    </row>
    <row r="46" spans="1:9" ht="18.75" x14ac:dyDescent="0.3">
      <c r="A46" s="14">
        <v>39</v>
      </c>
      <c r="B46" s="19">
        <f t="shared" si="1"/>
        <v>1.2258064516129032</v>
      </c>
      <c r="C46" s="29">
        <f t="shared" si="2"/>
        <v>2346022.8955273833</v>
      </c>
      <c r="D46" t="s">
        <v>72</v>
      </c>
      <c r="E46" s="20">
        <f t="shared" si="3"/>
        <v>39.225806451612904</v>
      </c>
      <c r="F46" s="17">
        <f t="shared" si="0"/>
        <v>388408.29930342588</v>
      </c>
      <c r="H46" s="12">
        <v>797740</v>
      </c>
      <c r="I46">
        <f t="shared" si="6"/>
        <v>-836640</v>
      </c>
    </row>
    <row r="47" spans="1:9" ht="18.75" x14ac:dyDescent="0.3">
      <c r="A47" s="18">
        <v>40</v>
      </c>
      <c r="B47" s="19">
        <f t="shared" si="1"/>
        <v>1.2580645161290323</v>
      </c>
      <c r="C47" s="29">
        <f t="shared" si="2"/>
        <v>-120205.9161146516</v>
      </c>
      <c r="D47" t="s">
        <v>73</v>
      </c>
      <c r="E47" s="20">
        <f t="shared" si="3"/>
        <v>40.258064516129032</v>
      </c>
      <c r="F47" s="17">
        <f t="shared" si="0"/>
        <v>235032.75226056104</v>
      </c>
      <c r="H47" s="12">
        <v>604575</v>
      </c>
      <c r="I47">
        <f t="shared" si="6"/>
        <v>-1029805</v>
      </c>
    </row>
    <row r="48" spans="1:9" ht="18.75" x14ac:dyDescent="0.3">
      <c r="A48" s="14">
        <v>41</v>
      </c>
      <c r="B48" s="19">
        <f t="shared" si="1"/>
        <v>1.2903225806451613</v>
      </c>
      <c r="C48" s="29">
        <f t="shared" si="2"/>
        <v>-284604.63572288712</v>
      </c>
      <c r="D48" t="s">
        <v>74</v>
      </c>
      <c r="E48" s="20">
        <f t="shared" si="3"/>
        <v>41.29032258064516</v>
      </c>
      <c r="F48" s="17">
        <f t="shared" si="0"/>
        <v>507188.1752077603</v>
      </c>
      <c r="H48" s="12">
        <v>2052508</v>
      </c>
      <c r="I48">
        <f t="shared" si="6"/>
        <v>418128</v>
      </c>
    </row>
    <row r="49" spans="1:9" ht="18.75" x14ac:dyDescent="0.3">
      <c r="A49" s="18">
        <v>42</v>
      </c>
      <c r="B49" s="19">
        <f t="shared" si="1"/>
        <v>1.3225806451612903</v>
      </c>
      <c r="C49" s="29">
        <f t="shared" si="2"/>
        <v>2266431.0240939641</v>
      </c>
      <c r="D49" t="s">
        <v>75</v>
      </c>
      <c r="E49" s="20">
        <f t="shared" si="3"/>
        <v>42.322580645161288</v>
      </c>
      <c r="F49" s="17">
        <f t="shared" si="0"/>
        <v>69610.63231116216</v>
      </c>
      <c r="H49" s="12">
        <v>1091469</v>
      </c>
      <c r="I49">
        <f t="shared" si="6"/>
        <v>-542911</v>
      </c>
    </row>
    <row r="50" spans="1:9" ht="18.75" x14ac:dyDescent="0.3">
      <c r="A50" s="14">
        <v>43</v>
      </c>
      <c r="B50" s="19">
        <f t="shared" si="1"/>
        <v>1.3548387096774193</v>
      </c>
      <c r="C50" s="29">
        <f t="shared" si="2"/>
        <v>46309.767178557464</v>
      </c>
      <c r="D50" t="s">
        <v>76</v>
      </c>
      <c r="E50" s="20">
        <f t="shared" si="3"/>
        <v>43.354838709677416</v>
      </c>
      <c r="F50" s="17">
        <f t="shared" si="0"/>
        <v>500038.47824509279</v>
      </c>
      <c r="H50" s="12">
        <v>1458449</v>
      </c>
      <c r="I50">
        <f t="shared" si="6"/>
        <v>-175931</v>
      </c>
    </row>
    <row r="51" spans="1:9" ht="18.75" x14ac:dyDescent="0.3">
      <c r="A51" s="18">
        <v>44</v>
      </c>
      <c r="B51" s="19">
        <f t="shared" si="1"/>
        <v>1.3870967741935485</v>
      </c>
      <c r="C51" s="29">
        <f t="shared" si="2"/>
        <v>-758837.38782220287</v>
      </c>
      <c r="D51" t="s">
        <v>77</v>
      </c>
      <c r="E51" s="20">
        <f t="shared" si="3"/>
        <v>44.387096774193552</v>
      </c>
      <c r="F51" s="17">
        <f t="shared" si="0"/>
        <v>1636986.6272441405</v>
      </c>
      <c r="H51" s="12">
        <v>913045</v>
      </c>
      <c r="I51">
        <f t="shared" si="6"/>
        <v>-721335</v>
      </c>
    </row>
    <row r="52" spans="1:9" ht="18.75" x14ac:dyDescent="0.3">
      <c r="A52" s="14">
        <v>45</v>
      </c>
      <c r="B52" s="19">
        <f t="shared" si="1"/>
        <v>1.4193548387096775</v>
      </c>
      <c r="C52" s="29">
        <f t="shared" si="2"/>
        <v>1897488.7645304129</v>
      </c>
      <c r="D52" t="s">
        <v>78</v>
      </c>
      <c r="E52" s="20">
        <f t="shared" si="3"/>
        <v>45.41935483870968</v>
      </c>
      <c r="F52" s="17">
        <f t="shared" si="0"/>
        <v>1171487.7080800291</v>
      </c>
      <c r="H52" s="12">
        <v>974100</v>
      </c>
      <c r="I52">
        <f t="shared" si="6"/>
        <v>-660280</v>
      </c>
    </row>
    <row r="53" spans="1:9" ht="18.75" x14ac:dyDescent="0.3">
      <c r="A53" s="18">
        <v>46</v>
      </c>
      <c r="B53" s="19">
        <f t="shared" si="1"/>
        <v>1.4516129032258065</v>
      </c>
      <c r="C53" s="29">
        <f t="shared" si="2"/>
        <v>37799.628957582434</v>
      </c>
      <c r="D53" t="s">
        <v>79</v>
      </c>
      <c r="E53" s="20">
        <f t="shared" si="3"/>
        <v>46.451612903225808</v>
      </c>
      <c r="F53" s="17">
        <f t="shared" si="0"/>
        <v>229672.85127797394</v>
      </c>
      <c r="H53" s="12">
        <v>703208</v>
      </c>
      <c r="I53">
        <f t="shared" si="6"/>
        <v>-931172</v>
      </c>
    </row>
    <row r="54" spans="1:9" ht="18.75" x14ac:dyDescent="0.3">
      <c r="A54" s="14">
        <v>47</v>
      </c>
      <c r="B54" s="19">
        <f t="shared" si="1"/>
        <v>1.4838709677419355</v>
      </c>
      <c r="C54" s="29">
        <f t="shared" si="2"/>
        <v>-1344612.6425938206</v>
      </c>
      <c r="D54" t="s">
        <v>80</v>
      </c>
      <c r="E54" s="20">
        <f t="shared" si="3"/>
        <v>47.483870967741936</v>
      </c>
      <c r="F54" s="17">
        <f t="shared" si="0"/>
        <v>152393.13757783652</v>
      </c>
      <c r="H54" s="12">
        <v>1750338</v>
      </c>
      <c r="I54">
        <f t="shared" si="6"/>
        <v>115958</v>
      </c>
    </row>
    <row r="55" spans="1:9" ht="18.75" x14ac:dyDescent="0.3">
      <c r="A55" s="18">
        <v>48</v>
      </c>
      <c r="B55" s="19">
        <f t="shared" si="1"/>
        <v>1.5161290322580645</v>
      </c>
      <c r="C55" s="29">
        <f t="shared" si="2"/>
        <v>1344612.6425938145</v>
      </c>
      <c r="D55" t="s">
        <v>81</v>
      </c>
      <c r="E55" s="20">
        <f t="shared" si="3"/>
        <v>48.516129032258064</v>
      </c>
      <c r="F55" s="17">
        <f t="shared" si="0"/>
        <v>424017.71562251385</v>
      </c>
      <c r="H55" s="12">
        <v>1914843</v>
      </c>
      <c r="I55">
        <f t="shared" si="6"/>
        <v>280463</v>
      </c>
    </row>
    <row r="56" spans="1:9" ht="18.75" x14ac:dyDescent="0.3">
      <c r="A56" s="14">
        <v>49</v>
      </c>
      <c r="B56" s="19">
        <f t="shared" si="1"/>
        <v>1.5483870967741935</v>
      </c>
      <c r="C56" s="29">
        <f t="shared" si="2"/>
        <v>-37799.628957569774</v>
      </c>
      <c r="D56" t="s">
        <v>82</v>
      </c>
      <c r="E56" s="20">
        <f t="shared" si="3"/>
        <v>49.548387096774192</v>
      </c>
      <c r="F56" s="17">
        <f t="shared" si="0"/>
        <v>98606.96948670641</v>
      </c>
      <c r="H56" s="12">
        <v>491916</v>
      </c>
      <c r="I56">
        <f t="shared" si="6"/>
        <v>-1142464</v>
      </c>
    </row>
    <row r="57" spans="1:9" ht="18.75" x14ac:dyDescent="0.3">
      <c r="A57" s="18">
        <v>50</v>
      </c>
      <c r="B57" s="19">
        <f t="shared" si="1"/>
        <v>1.5806451612903225</v>
      </c>
      <c r="C57" s="29">
        <f t="shared" si="2"/>
        <v>-1897488.7645304168</v>
      </c>
      <c r="D57" t="s">
        <v>83</v>
      </c>
      <c r="E57" s="20">
        <f t="shared" si="3"/>
        <v>50.58064516129032</v>
      </c>
      <c r="F57" s="17">
        <f t="shared" si="0"/>
        <v>404054.70707129833</v>
      </c>
      <c r="H57" s="12">
        <v>2064558</v>
      </c>
      <c r="I57">
        <f t="shared" si="6"/>
        <v>430178</v>
      </c>
    </row>
    <row r="58" spans="1:9" ht="18.75" x14ac:dyDescent="0.3">
      <c r="A58" s="14">
        <v>51</v>
      </c>
      <c r="B58" s="19">
        <f t="shared" si="1"/>
        <v>1.6129032258064515</v>
      </c>
      <c r="C58" s="29">
        <f t="shared" si="2"/>
        <v>758837.38782219496</v>
      </c>
      <c r="D58" t="s">
        <v>84</v>
      </c>
      <c r="E58" s="20">
        <f t="shared" si="3"/>
        <v>51.612903225806448</v>
      </c>
      <c r="F58" s="17">
        <f t="shared" si="0"/>
        <v>360088.13253300678</v>
      </c>
      <c r="H58" s="12">
        <v>2856969</v>
      </c>
      <c r="I58">
        <f t="shared" si="6"/>
        <v>1222589</v>
      </c>
    </row>
    <row r="59" spans="1:9" ht="18.75" x14ac:dyDescent="0.3">
      <c r="A59" s="18">
        <v>52</v>
      </c>
      <c r="B59" s="19">
        <f t="shared" si="1"/>
        <v>1.6451612903225807</v>
      </c>
      <c r="C59" s="29">
        <f t="shared" si="2"/>
        <v>-46309.767178545531</v>
      </c>
      <c r="D59" t="s">
        <v>85</v>
      </c>
      <c r="E59" s="20">
        <f t="shared" si="3"/>
        <v>52.645161290322584</v>
      </c>
      <c r="F59" s="17">
        <f t="shared" si="0"/>
        <v>348960.02705786779</v>
      </c>
      <c r="H59" s="12">
        <v>781857</v>
      </c>
      <c r="I59">
        <f t="shared" si="6"/>
        <v>-852523</v>
      </c>
    </row>
    <row r="60" spans="1:9" ht="18.75" x14ac:dyDescent="0.3">
      <c r="A60" s="14">
        <v>53</v>
      </c>
      <c r="B60" s="19">
        <f t="shared" si="1"/>
        <v>1.6774193548387097</v>
      </c>
      <c r="C60" s="29">
        <f t="shared" si="2"/>
        <v>-2266431.0240939693</v>
      </c>
      <c r="D60" t="s">
        <v>86</v>
      </c>
      <c r="E60" s="20">
        <f t="shared" si="3"/>
        <v>53.677419354838712</v>
      </c>
      <c r="F60" s="17">
        <f t="shared" si="0"/>
        <v>263856.95545051643</v>
      </c>
      <c r="H60" s="12">
        <v>633954</v>
      </c>
      <c r="I60">
        <f t="shared" si="6"/>
        <v>-1000426</v>
      </c>
    </row>
    <row r="61" spans="1:9" ht="18.75" x14ac:dyDescent="0.3">
      <c r="A61" s="18">
        <v>54</v>
      </c>
      <c r="B61" s="19">
        <f t="shared" si="1"/>
        <v>1.7096774193548387</v>
      </c>
      <c r="C61" s="29">
        <f t="shared" si="2"/>
        <v>284604.63572287688</v>
      </c>
      <c r="D61" t="s">
        <v>87</v>
      </c>
      <c r="E61" s="20">
        <f t="shared" si="3"/>
        <v>54.70967741935484</v>
      </c>
      <c r="F61" s="17">
        <f t="shared" si="0"/>
        <v>532548.23725596908</v>
      </c>
      <c r="H61" s="12">
        <v>3107292</v>
      </c>
      <c r="I61">
        <f t="shared" si="6"/>
        <v>1472912</v>
      </c>
    </row>
    <row r="62" spans="1:9" ht="18.75" x14ac:dyDescent="0.3">
      <c r="A62" s="14">
        <v>55</v>
      </c>
      <c r="B62" s="19">
        <f t="shared" si="1"/>
        <v>1.7419354838709677</v>
      </c>
      <c r="C62" s="29">
        <f t="shared" si="2"/>
        <v>120205.91611468326</v>
      </c>
      <c r="D62" t="s">
        <v>88</v>
      </c>
      <c r="E62" s="20">
        <f t="shared" si="3"/>
        <v>55.741935483870968</v>
      </c>
      <c r="F62" s="17">
        <f t="shared" si="0"/>
        <v>689493.21272659162</v>
      </c>
      <c r="H62" s="12">
        <v>24661</v>
      </c>
      <c r="I62">
        <f t="shared" si="6"/>
        <v>-1609719</v>
      </c>
    </row>
    <row r="63" spans="1:9" ht="18.75" x14ac:dyDescent="0.3">
      <c r="A63" s="18">
        <v>56</v>
      </c>
      <c r="B63" s="19">
        <f t="shared" si="1"/>
        <v>1.7741935483870968</v>
      </c>
      <c r="C63" s="29">
        <f t="shared" si="2"/>
        <v>-2346022.8955273828</v>
      </c>
      <c r="D63" t="s">
        <v>89</v>
      </c>
      <c r="E63" s="20">
        <f t="shared" si="3"/>
        <v>56.774193548387096</v>
      </c>
      <c r="F63" s="17">
        <f t="shared" si="0"/>
        <v>257798.16833662827</v>
      </c>
      <c r="H63" s="12">
        <v>223754</v>
      </c>
      <c r="I63">
        <f t="shared" si="6"/>
        <v>-1410626</v>
      </c>
    </row>
    <row r="64" spans="1:9" ht="18.75" x14ac:dyDescent="0.3">
      <c r="A64" s="14">
        <v>57</v>
      </c>
      <c r="B64" s="19">
        <f t="shared" si="1"/>
        <v>1.8064516129032258</v>
      </c>
      <c r="C64" s="29">
        <f t="shared" si="2"/>
        <v>10667.824398440775</v>
      </c>
      <c r="D64" t="s">
        <v>90</v>
      </c>
      <c r="E64" s="20">
        <f t="shared" si="3"/>
        <v>57.806451612903224</v>
      </c>
      <c r="F64" s="17">
        <f t="shared" si="0"/>
        <v>112266.22464031818</v>
      </c>
      <c r="H64" s="12">
        <v>1399363</v>
      </c>
      <c r="I64">
        <f t="shared" si="6"/>
        <v>-235017</v>
      </c>
    </row>
    <row r="65" spans="1:9" ht="18.75" x14ac:dyDescent="0.3">
      <c r="A65" s="18">
        <v>58</v>
      </c>
      <c r="B65" s="19">
        <f t="shared" si="1"/>
        <v>1.8387096774193548</v>
      </c>
      <c r="C65" s="29">
        <f t="shared" si="2"/>
        <v>500456.13212168263</v>
      </c>
      <c r="D65" t="s">
        <v>91</v>
      </c>
      <c r="E65" s="20">
        <f t="shared" si="3"/>
        <v>58.838709677419352</v>
      </c>
      <c r="F65" s="17">
        <f t="shared" si="0"/>
        <v>106053.21555300248</v>
      </c>
      <c r="H65" s="12">
        <v>1028571</v>
      </c>
      <c r="I65">
        <f t="shared" si="6"/>
        <v>-605809</v>
      </c>
    </row>
    <row r="66" spans="1:9" ht="18.75" x14ac:dyDescent="0.3">
      <c r="A66" s="14">
        <v>59</v>
      </c>
      <c r="B66" s="19">
        <f t="shared" si="1"/>
        <v>1.8709677419354838</v>
      </c>
      <c r="C66" s="29">
        <f t="shared" si="2"/>
        <v>-2113156.241089751</v>
      </c>
      <c r="D66" t="s">
        <v>92</v>
      </c>
      <c r="E66" s="20">
        <f t="shared" si="3"/>
        <v>59.87096774193548</v>
      </c>
      <c r="F66" s="17">
        <f t="shared" si="0"/>
        <v>82128.198345284909</v>
      </c>
      <c r="H66" s="12">
        <v>1882305</v>
      </c>
      <c r="I66">
        <f t="shared" si="6"/>
        <v>247925</v>
      </c>
    </row>
    <row r="67" spans="1:9" ht="18.75" x14ac:dyDescent="0.3">
      <c r="A67" s="18">
        <v>60</v>
      </c>
      <c r="B67" s="19">
        <f t="shared" si="1"/>
        <v>1.903225806451613</v>
      </c>
      <c r="C67" s="29">
        <f t="shared" si="2"/>
        <v>-58397.295880199759</v>
      </c>
      <c r="D67" t="s">
        <v>93</v>
      </c>
      <c r="E67" s="20">
        <f t="shared" si="3"/>
        <v>60.903225806451616</v>
      </c>
      <c r="F67" s="17">
        <f t="shared" si="0"/>
        <v>295772.84000932256</v>
      </c>
      <c r="H67" s="12">
        <v>2179060</v>
      </c>
      <c r="I67">
        <f t="shared" si="6"/>
        <v>544680</v>
      </c>
    </row>
    <row r="68" spans="1:9" ht="18.75" x14ac:dyDescent="0.3">
      <c r="A68" s="14">
        <v>61</v>
      </c>
      <c r="B68" s="19">
        <f t="shared" si="1"/>
        <v>1.935483870967742</v>
      </c>
      <c r="C68" s="29">
        <f t="shared" si="2"/>
        <v>1046017.0570854602</v>
      </c>
      <c r="D68" t="s">
        <v>94</v>
      </c>
      <c r="E68" s="20">
        <f t="shared" si="3"/>
        <v>61.935483870967744</v>
      </c>
      <c r="F68" s="17">
        <f t="shared" si="0"/>
        <v>347119.73890983278</v>
      </c>
      <c r="H68" s="12">
        <v>2483739</v>
      </c>
      <c r="I68">
        <f t="shared" si="6"/>
        <v>849359</v>
      </c>
    </row>
    <row r="69" spans="1:9" ht="18.75" x14ac:dyDescent="0.3">
      <c r="A69" s="18">
        <v>62</v>
      </c>
      <c r="B69" s="19">
        <f t="shared" si="1"/>
        <v>1.967741935483871</v>
      </c>
      <c r="C69" s="29">
        <f t="shared" si="2"/>
        <v>-1635092.922250883</v>
      </c>
      <c r="D69" t="s">
        <v>95</v>
      </c>
      <c r="E69" s="20">
        <f t="shared" si="3"/>
        <v>62.967741935483872</v>
      </c>
      <c r="F69" s="17">
        <f t="shared" si="0"/>
        <v>814855.47871477145</v>
      </c>
      <c r="H69" s="12">
        <v>2265926</v>
      </c>
      <c r="I69">
        <f t="shared" si="6"/>
        <v>631546</v>
      </c>
    </row>
    <row r="70" spans="1:9" ht="18.75" x14ac:dyDescent="0.3">
      <c r="A70" s="14">
        <v>63</v>
      </c>
      <c r="B70" s="19">
        <f t="shared" si="1"/>
        <v>2</v>
      </c>
      <c r="C70" s="29">
        <f t="shared" si="2"/>
        <v>-8.5053201851273408E-9</v>
      </c>
      <c r="D70" t="s">
        <v>96</v>
      </c>
      <c r="E70" s="20">
        <f t="shared" si="3"/>
        <v>64</v>
      </c>
      <c r="F70" s="17">
        <f t="shared" si="0"/>
        <v>1154241.0724926991</v>
      </c>
      <c r="H70" s="12">
        <v>1192120</v>
      </c>
      <c r="I70">
        <f t="shared" si="6"/>
        <v>-442260</v>
      </c>
    </row>
    <row r="71" spans="1:9" ht="18.75" x14ac:dyDescent="0.3">
      <c r="A71" s="18">
        <v>64</v>
      </c>
      <c r="B71" s="19">
        <f t="shared" si="1"/>
        <v>2.032258064516129</v>
      </c>
      <c r="C71" s="29">
        <f t="shared" si="2"/>
        <v>1635092.9222508895</v>
      </c>
      <c r="D71" t="s">
        <v>97</v>
      </c>
      <c r="E71" s="20">
        <f t="shared" si="3"/>
        <v>65.032258064516128</v>
      </c>
      <c r="F71" s="17">
        <f t="shared" si="0"/>
        <v>1666637.1016924488</v>
      </c>
      <c r="H71" s="12">
        <v>3029119</v>
      </c>
      <c r="I71">
        <f t="shared" si="6"/>
        <v>1394739</v>
      </c>
    </row>
    <row r="72" spans="1:9" ht="18.75" x14ac:dyDescent="0.3">
      <c r="C72" s="29">
        <f t="shared" si="2"/>
        <v>0</v>
      </c>
      <c r="E72" s="20">
        <f t="shared" si="3"/>
        <v>66.064516129032256</v>
      </c>
      <c r="F72" s="17">
        <f t="shared" si="0"/>
        <v>0</v>
      </c>
      <c r="H72" s="12">
        <v>512497</v>
      </c>
      <c r="I72">
        <f t="shared" si="6"/>
        <v>-1121883</v>
      </c>
    </row>
    <row r="73" spans="1:9" ht="18.75" x14ac:dyDescent="0.3">
      <c r="C73" s="29">
        <f t="shared" si="2"/>
        <v>0</v>
      </c>
      <c r="E73" s="20">
        <f t="shared" si="3"/>
        <v>0</v>
      </c>
      <c r="F73" s="17">
        <f t="shared" ref="F73:F108" si="7">IMABS(D73)/(($F$5/2)+1)</f>
        <v>0</v>
      </c>
      <c r="H73" s="12">
        <v>854259</v>
      </c>
      <c r="I73">
        <f t="shared" si="6"/>
        <v>-780121</v>
      </c>
    </row>
    <row r="74" spans="1:9" ht="18.75" x14ac:dyDescent="0.3">
      <c r="C74" s="29">
        <f t="shared" ref="C74:C108" si="8">$D$3*SIN(B74*$E$3*2*PI())+689493*SIN(B74*2*PI())</f>
        <v>0</v>
      </c>
      <c r="E74" s="20">
        <f t="shared" ref="E74:E108" si="9">A73*($E$5)/(($F$5-1))</f>
        <v>0</v>
      </c>
      <c r="F74" s="17">
        <f t="shared" si="7"/>
        <v>0</v>
      </c>
      <c r="H74" s="12">
        <v>805077</v>
      </c>
      <c r="I74">
        <f t="shared" si="6"/>
        <v>-829303</v>
      </c>
    </row>
    <row r="75" spans="1:9" ht="18.75" x14ac:dyDescent="0.3">
      <c r="C75" s="29">
        <f t="shared" si="8"/>
        <v>0</v>
      </c>
      <c r="E75" s="20">
        <f t="shared" si="9"/>
        <v>0</v>
      </c>
      <c r="F75" s="17">
        <f t="shared" si="7"/>
        <v>0</v>
      </c>
      <c r="H75" s="12">
        <v>560760</v>
      </c>
      <c r="I75">
        <f t="shared" si="6"/>
        <v>-1073620</v>
      </c>
    </row>
    <row r="76" spans="1:9" ht="18.75" x14ac:dyDescent="0.3">
      <c r="C76" s="29">
        <f t="shared" si="8"/>
        <v>0</v>
      </c>
      <c r="E76" s="20">
        <f t="shared" si="9"/>
        <v>0</v>
      </c>
      <c r="F76" s="17">
        <f t="shared" si="7"/>
        <v>0</v>
      </c>
      <c r="H76" s="12">
        <v>559239</v>
      </c>
      <c r="I76">
        <f t="shared" si="6"/>
        <v>-1075141</v>
      </c>
    </row>
    <row r="77" spans="1:9" ht="18.75" x14ac:dyDescent="0.3">
      <c r="C77" s="29">
        <f t="shared" si="8"/>
        <v>0</v>
      </c>
      <c r="E77" s="20">
        <f t="shared" si="9"/>
        <v>0</v>
      </c>
      <c r="F77" s="17">
        <f t="shared" si="7"/>
        <v>0</v>
      </c>
      <c r="H77" s="12">
        <v>3079795</v>
      </c>
      <c r="I77">
        <f t="shared" si="6"/>
        <v>1445415</v>
      </c>
    </row>
    <row r="78" spans="1:9" ht="18.75" x14ac:dyDescent="0.3">
      <c r="C78" s="29">
        <f t="shared" si="8"/>
        <v>0</v>
      </c>
      <c r="E78" s="20">
        <f t="shared" si="9"/>
        <v>0</v>
      </c>
      <c r="F78" s="17">
        <f t="shared" si="7"/>
        <v>0</v>
      </c>
      <c r="H78" s="12">
        <v>2335098</v>
      </c>
      <c r="I78">
        <f t="shared" si="6"/>
        <v>700718</v>
      </c>
    </row>
    <row r="79" spans="1:9" ht="18.75" x14ac:dyDescent="0.3">
      <c r="C79" s="29">
        <f t="shared" si="8"/>
        <v>0</v>
      </c>
      <c r="E79" s="20">
        <f t="shared" si="9"/>
        <v>0</v>
      </c>
      <c r="F79" s="17">
        <f t="shared" si="7"/>
        <v>0</v>
      </c>
      <c r="H79" s="12">
        <v>1888265</v>
      </c>
      <c r="I79">
        <f t="shared" si="6"/>
        <v>253885</v>
      </c>
    </row>
    <row r="80" spans="1:9" ht="18.75" x14ac:dyDescent="0.3">
      <c r="C80" s="29">
        <f t="shared" si="8"/>
        <v>0</v>
      </c>
      <c r="E80" s="20">
        <f t="shared" si="9"/>
        <v>0</v>
      </c>
      <c r="F80" s="17">
        <f t="shared" si="7"/>
        <v>0</v>
      </c>
      <c r="H80" s="12">
        <v>1933569</v>
      </c>
      <c r="I80">
        <f t="shared" si="6"/>
        <v>299189</v>
      </c>
    </row>
    <row r="81" spans="3:9" ht="18.75" x14ac:dyDescent="0.3">
      <c r="C81" s="29">
        <f t="shared" si="8"/>
        <v>0</v>
      </c>
      <c r="E81" s="20">
        <f t="shared" si="9"/>
        <v>0</v>
      </c>
      <c r="F81" s="17">
        <f t="shared" si="7"/>
        <v>0</v>
      </c>
      <c r="H81" s="12">
        <v>3213442</v>
      </c>
      <c r="I81">
        <f t="shared" si="6"/>
        <v>1579062</v>
      </c>
    </row>
    <row r="82" spans="3:9" ht="18.75" x14ac:dyDescent="0.3">
      <c r="C82" s="29">
        <f t="shared" si="8"/>
        <v>0</v>
      </c>
      <c r="E82" s="20">
        <f t="shared" si="9"/>
        <v>0</v>
      </c>
      <c r="F82" s="17">
        <f t="shared" si="7"/>
        <v>0</v>
      </c>
      <c r="H82" s="12">
        <v>2735235</v>
      </c>
      <c r="I82">
        <f t="shared" si="6"/>
        <v>1100855</v>
      </c>
    </row>
    <row r="83" spans="3:9" ht="18.75" x14ac:dyDescent="0.3">
      <c r="C83" s="29">
        <f t="shared" si="8"/>
        <v>0</v>
      </c>
      <c r="E83" s="20">
        <f t="shared" si="9"/>
        <v>0</v>
      </c>
      <c r="F83" s="17">
        <f t="shared" si="7"/>
        <v>0</v>
      </c>
      <c r="H83" s="12">
        <v>2488274</v>
      </c>
      <c r="I83">
        <f t="shared" si="6"/>
        <v>853894</v>
      </c>
    </row>
    <row r="84" spans="3:9" ht="18.75" x14ac:dyDescent="0.3">
      <c r="C84" s="29">
        <f t="shared" si="8"/>
        <v>0</v>
      </c>
      <c r="E84" s="20">
        <f t="shared" si="9"/>
        <v>0</v>
      </c>
      <c r="F84" s="17">
        <f t="shared" si="7"/>
        <v>0</v>
      </c>
      <c r="H84" s="12">
        <v>3149579</v>
      </c>
      <c r="I84">
        <f t="shared" si="6"/>
        <v>1515199</v>
      </c>
    </row>
    <row r="85" spans="3:9" ht="18.75" x14ac:dyDescent="0.3">
      <c r="C85" s="29">
        <f t="shared" si="8"/>
        <v>0</v>
      </c>
      <c r="E85" s="20">
        <f t="shared" si="9"/>
        <v>0</v>
      </c>
      <c r="F85" s="17">
        <f t="shared" si="7"/>
        <v>0</v>
      </c>
      <c r="H85" s="12">
        <v>1484474</v>
      </c>
      <c r="I85">
        <f t="shared" si="6"/>
        <v>-149906</v>
      </c>
    </row>
    <row r="86" spans="3:9" ht="18.75" x14ac:dyDescent="0.3">
      <c r="C86" s="29">
        <f t="shared" si="8"/>
        <v>0</v>
      </c>
      <c r="E86" s="20">
        <f t="shared" si="9"/>
        <v>0</v>
      </c>
      <c r="F86" s="17">
        <f t="shared" si="7"/>
        <v>0</v>
      </c>
      <c r="H86" s="12">
        <v>628515</v>
      </c>
      <c r="I86">
        <f t="shared" si="6"/>
        <v>-1005865</v>
      </c>
    </row>
    <row r="87" spans="3:9" ht="18.75" x14ac:dyDescent="0.3">
      <c r="C87" s="29">
        <f t="shared" si="8"/>
        <v>0</v>
      </c>
      <c r="E87" s="20">
        <f t="shared" si="9"/>
        <v>0</v>
      </c>
      <c r="F87" s="17">
        <f t="shared" si="7"/>
        <v>0</v>
      </c>
      <c r="H87" s="12">
        <v>3045999</v>
      </c>
      <c r="I87">
        <f t="shared" si="6"/>
        <v>1411619</v>
      </c>
    </row>
    <row r="88" spans="3:9" ht="18.75" x14ac:dyDescent="0.3">
      <c r="C88" s="29">
        <f t="shared" si="8"/>
        <v>0</v>
      </c>
      <c r="E88" s="20">
        <f t="shared" si="9"/>
        <v>0</v>
      </c>
      <c r="F88" s="17">
        <f t="shared" si="7"/>
        <v>0</v>
      </c>
      <c r="H88" s="12">
        <v>1470181</v>
      </c>
      <c r="I88">
        <f t="shared" si="6"/>
        <v>-164199</v>
      </c>
    </row>
    <row r="89" spans="3:9" ht="18.75" x14ac:dyDescent="0.3">
      <c r="C89" s="29">
        <f t="shared" si="8"/>
        <v>0</v>
      </c>
      <c r="E89" s="20">
        <f t="shared" si="9"/>
        <v>0</v>
      </c>
      <c r="F89" s="17">
        <f t="shared" si="7"/>
        <v>0</v>
      </c>
      <c r="H89" s="12">
        <v>2547934</v>
      </c>
      <c r="I89">
        <f t="shared" si="6"/>
        <v>913554</v>
      </c>
    </row>
    <row r="90" spans="3:9" ht="18.75" x14ac:dyDescent="0.3">
      <c r="C90" s="29">
        <f t="shared" si="8"/>
        <v>0</v>
      </c>
      <c r="E90" s="20">
        <f t="shared" si="9"/>
        <v>0</v>
      </c>
      <c r="F90" s="17">
        <f t="shared" si="7"/>
        <v>0</v>
      </c>
      <c r="H90" s="12">
        <v>1598457</v>
      </c>
      <c r="I90">
        <f t="shared" si="6"/>
        <v>-35923</v>
      </c>
    </row>
    <row r="91" spans="3:9" ht="18.75" x14ac:dyDescent="0.3">
      <c r="C91" s="29">
        <f t="shared" si="8"/>
        <v>0</v>
      </c>
      <c r="E91" s="20">
        <f t="shared" si="9"/>
        <v>0</v>
      </c>
      <c r="F91" s="17">
        <f t="shared" si="7"/>
        <v>0</v>
      </c>
      <c r="H91" s="12">
        <v>2445448</v>
      </c>
      <c r="I91">
        <f t="shared" si="6"/>
        <v>811068</v>
      </c>
    </row>
    <row r="92" spans="3:9" ht="18.75" x14ac:dyDescent="0.3">
      <c r="C92" s="29">
        <f t="shared" si="8"/>
        <v>0</v>
      </c>
      <c r="E92" s="20">
        <f t="shared" si="9"/>
        <v>0</v>
      </c>
      <c r="F92" s="17">
        <f t="shared" si="7"/>
        <v>0</v>
      </c>
      <c r="H92" s="12">
        <v>1851053</v>
      </c>
      <c r="I92">
        <f t="shared" si="6"/>
        <v>216673</v>
      </c>
    </row>
    <row r="93" spans="3:9" ht="18.75" x14ac:dyDescent="0.3">
      <c r="C93" s="29">
        <f t="shared" si="8"/>
        <v>0</v>
      </c>
      <c r="E93" s="20">
        <f t="shared" si="9"/>
        <v>0</v>
      </c>
      <c r="F93" s="17">
        <f t="shared" si="7"/>
        <v>0</v>
      </c>
      <c r="H93" s="12">
        <v>1020211</v>
      </c>
      <c r="I93">
        <f t="shared" si="6"/>
        <v>-614169</v>
      </c>
    </row>
    <row r="94" spans="3:9" ht="18.75" x14ac:dyDescent="0.3">
      <c r="C94" s="29">
        <f t="shared" si="8"/>
        <v>0</v>
      </c>
      <c r="E94" s="20">
        <f t="shared" si="9"/>
        <v>0</v>
      </c>
      <c r="F94" s="17">
        <f t="shared" si="7"/>
        <v>0</v>
      </c>
      <c r="H94" s="12">
        <v>1773940</v>
      </c>
      <c r="I94">
        <f t="shared" si="6"/>
        <v>139560</v>
      </c>
    </row>
    <row r="95" spans="3:9" ht="18.75" x14ac:dyDescent="0.3">
      <c r="C95" s="29">
        <f t="shared" si="8"/>
        <v>0</v>
      </c>
      <c r="E95" s="20">
        <f t="shared" si="9"/>
        <v>0</v>
      </c>
      <c r="F95" s="17">
        <f t="shared" si="7"/>
        <v>0</v>
      </c>
      <c r="H95" s="12">
        <v>1462872</v>
      </c>
      <c r="I95">
        <f t="shared" si="6"/>
        <v>-171508</v>
      </c>
    </row>
    <row r="96" spans="3:9" ht="18.75" x14ac:dyDescent="0.3">
      <c r="C96" s="29">
        <f t="shared" si="8"/>
        <v>0</v>
      </c>
      <c r="E96" s="20">
        <f t="shared" si="9"/>
        <v>0</v>
      </c>
      <c r="F96" s="17">
        <f t="shared" si="7"/>
        <v>0</v>
      </c>
      <c r="H96" s="12">
        <v>2412379</v>
      </c>
      <c r="I96">
        <f t="shared" si="6"/>
        <v>777999</v>
      </c>
    </row>
    <row r="97" spans="3:9" ht="18.75" x14ac:dyDescent="0.3">
      <c r="C97" s="29">
        <f t="shared" si="8"/>
        <v>0</v>
      </c>
      <c r="E97" s="20">
        <f t="shared" si="9"/>
        <v>0</v>
      </c>
      <c r="F97" s="17">
        <f t="shared" si="7"/>
        <v>0</v>
      </c>
      <c r="H97" s="12">
        <v>3150781</v>
      </c>
      <c r="I97">
        <f t="shared" si="6"/>
        <v>1516401</v>
      </c>
    </row>
    <row r="98" spans="3:9" ht="18.75" x14ac:dyDescent="0.3">
      <c r="C98" s="29">
        <f t="shared" si="8"/>
        <v>0</v>
      </c>
      <c r="E98" s="20">
        <f t="shared" si="9"/>
        <v>0</v>
      </c>
      <c r="F98" s="17">
        <f t="shared" si="7"/>
        <v>0</v>
      </c>
      <c r="H98" s="12">
        <v>1095571</v>
      </c>
      <c r="I98">
        <f t="shared" si="6"/>
        <v>-538809</v>
      </c>
    </row>
    <row r="99" spans="3:9" ht="18.75" x14ac:dyDescent="0.3">
      <c r="C99" s="29">
        <f t="shared" si="8"/>
        <v>0</v>
      </c>
      <c r="E99" s="20">
        <f t="shared" si="9"/>
        <v>0</v>
      </c>
      <c r="F99" s="17">
        <f t="shared" si="7"/>
        <v>0</v>
      </c>
      <c r="H99" s="13">
        <v>1500683</v>
      </c>
      <c r="I99">
        <f t="shared" si="6"/>
        <v>-133697</v>
      </c>
    </row>
    <row r="100" spans="3:9" ht="18.75" x14ac:dyDescent="0.3">
      <c r="C100" s="29">
        <f t="shared" si="8"/>
        <v>0</v>
      </c>
      <c r="E100" s="20">
        <f t="shared" si="9"/>
        <v>0</v>
      </c>
      <c r="F100" s="17">
        <f t="shared" si="7"/>
        <v>0</v>
      </c>
      <c r="H100" s="13">
        <v>677692</v>
      </c>
      <c r="I100">
        <f t="shared" si="6"/>
        <v>-956688</v>
      </c>
    </row>
    <row r="101" spans="3:9" ht="18.75" x14ac:dyDescent="0.3">
      <c r="C101" s="29">
        <f t="shared" si="8"/>
        <v>0</v>
      </c>
      <c r="E101" s="20">
        <f t="shared" si="9"/>
        <v>0</v>
      </c>
      <c r="F101" s="17">
        <f t="shared" si="7"/>
        <v>0</v>
      </c>
      <c r="H101" s="13">
        <v>2216576</v>
      </c>
      <c r="I101">
        <f t="shared" si="6"/>
        <v>582196</v>
      </c>
    </row>
    <row r="102" spans="3:9" ht="18.75" x14ac:dyDescent="0.3">
      <c r="C102" s="29">
        <f t="shared" si="8"/>
        <v>0</v>
      </c>
      <c r="E102" s="20">
        <f t="shared" si="9"/>
        <v>0</v>
      </c>
      <c r="F102" s="17">
        <f t="shared" si="7"/>
        <v>0</v>
      </c>
      <c r="H102" s="13">
        <v>3193023</v>
      </c>
      <c r="I102">
        <f t="shared" si="6"/>
        <v>1558643</v>
      </c>
    </row>
    <row r="103" spans="3:9" ht="18.75" x14ac:dyDescent="0.3">
      <c r="C103" s="29">
        <f t="shared" si="8"/>
        <v>0</v>
      </c>
      <c r="E103" s="20">
        <f t="shared" si="9"/>
        <v>0</v>
      </c>
      <c r="F103" s="17">
        <f t="shared" si="7"/>
        <v>0</v>
      </c>
      <c r="H103" s="13">
        <v>1938130</v>
      </c>
      <c r="I103">
        <f t="shared" si="6"/>
        <v>303750</v>
      </c>
    </row>
    <row r="104" spans="3:9" ht="18.75" x14ac:dyDescent="0.3">
      <c r="C104" s="29">
        <f t="shared" si="8"/>
        <v>0</v>
      </c>
      <c r="E104" s="20">
        <f t="shared" si="9"/>
        <v>0</v>
      </c>
      <c r="F104" s="17">
        <f t="shared" si="7"/>
        <v>0</v>
      </c>
      <c r="H104" s="13">
        <v>348819</v>
      </c>
      <c r="I104">
        <f t="shared" si="6"/>
        <v>-1285561</v>
      </c>
    </row>
    <row r="105" spans="3:9" ht="18.75" x14ac:dyDescent="0.3">
      <c r="C105" s="29">
        <f t="shared" si="8"/>
        <v>0</v>
      </c>
      <c r="E105" s="20">
        <f t="shared" si="9"/>
        <v>0</v>
      </c>
      <c r="F105" s="17">
        <f t="shared" si="7"/>
        <v>0</v>
      </c>
      <c r="H105" s="13">
        <v>861749</v>
      </c>
      <c r="I105">
        <f t="shared" si="6"/>
        <v>-772631</v>
      </c>
    </row>
    <row r="106" spans="3:9" ht="18.75" x14ac:dyDescent="0.3">
      <c r="C106" s="29">
        <f t="shared" si="8"/>
        <v>0</v>
      </c>
      <c r="E106" s="20">
        <f t="shared" si="9"/>
        <v>0</v>
      </c>
      <c r="F106" s="17">
        <f t="shared" si="7"/>
        <v>0</v>
      </c>
      <c r="H106" s="13">
        <v>1004228</v>
      </c>
      <c r="I106">
        <f t="shared" si="6"/>
        <v>-630152</v>
      </c>
    </row>
    <row r="107" spans="3:9" x14ac:dyDescent="0.25">
      <c r="C107" s="29">
        <f t="shared" si="8"/>
        <v>0</v>
      </c>
      <c r="E107" s="20">
        <f t="shared" si="9"/>
        <v>0</v>
      </c>
      <c r="F107" s="17">
        <f t="shared" si="7"/>
        <v>0</v>
      </c>
      <c r="H107">
        <v>207153</v>
      </c>
      <c r="I107">
        <f t="shared" si="6"/>
        <v>-1427227</v>
      </c>
    </row>
    <row r="108" spans="3:9" ht="18.75" x14ac:dyDescent="0.3">
      <c r="C108" s="29">
        <f t="shared" si="8"/>
        <v>0</v>
      </c>
      <c r="E108" s="20">
        <f t="shared" si="9"/>
        <v>0</v>
      </c>
      <c r="F108" s="17">
        <f t="shared" si="7"/>
        <v>0</v>
      </c>
      <c r="H108" s="13">
        <v>2039138</v>
      </c>
      <c r="I108">
        <f t="shared" si="6"/>
        <v>404758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acro1">
                <anchor moveWithCells="1" sizeWithCells="1">
                  <from>
                    <xdr:col>1</xdr:col>
                    <xdr:colOff>342900</xdr:colOff>
                    <xdr:row>4</xdr:row>
                    <xdr:rowOff>133350</xdr:rowOff>
                  </from>
                  <to>
                    <xdr:col>2</xdr:col>
                    <xdr:colOff>590550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K108"/>
  <sheetViews>
    <sheetView showGridLines="0" tabSelected="1" workbookViewId="0">
      <selection activeCell="H21" sqref="H21"/>
    </sheetView>
  </sheetViews>
  <sheetFormatPr defaultRowHeight="15" x14ac:dyDescent="0.25"/>
  <cols>
    <col min="1" max="1" width="10.140625" customWidth="1"/>
    <col min="4" max="4" width="15" customWidth="1"/>
    <col min="5" max="5" width="17" customWidth="1"/>
    <col min="6" max="6" width="17.140625" customWidth="1"/>
  </cols>
  <sheetData>
    <row r="1" spans="1:11" ht="18.75" x14ac:dyDescent="0.3">
      <c r="A1" t="s">
        <v>21</v>
      </c>
      <c r="D1" s="7" t="s">
        <v>18</v>
      </c>
      <c r="E1" s="8" t="s">
        <v>19</v>
      </c>
      <c r="G1" t="s">
        <v>33</v>
      </c>
      <c r="H1">
        <f>E3</f>
        <v>0</v>
      </c>
      <c r="K1" s="27" t="str">
        <f>"y="&amp;D3&amp;"*sen("&amp;E3&amp;" t)"</f>
        <v>y=*sen( t)</v>
      </c>
    </row>
    <row r="2" spans="1:11" x14ac:dyDescent="0.25">
      <c r="D2" s="5" t="s">
        <v>16</v>
      </c>
      <c r="E2" s="5" t="s">
        <v>17</v>
      </c>
      <c r="F2" s="4" t="s">
        <v>26</v>
      </c>
    </row>
    <row r="3" spans="1:11" x14ac:dyDescent="0.25">
      <c r="A3" s="9" t="s">
        <v>10</v>
      </c>
      <c r="B3" s="9"/>
      <c r="D3" s="6"/>
      <c r="E3" s="6"/>
      <c r="F3" s="3" t="s">
        <v>22</v>
      </c>
    </row>
    <row r="4" spans="1:11" ht="45" x14ac:dyDescent="0.3">
      <c r="A4" s="10" t="s">
        <v>20</v>
      </c>
      <c r="B4" s="9"/>
      <c r="D4" s="5" t="s">
        <v>14</v>
      </c>
      <c r="E4" s="11" t="s">
        <v>27</v>
      </c>
      <c r="F4" s="26" t="s">
        <v>28</v>
      </c>
    </row>
    <row r="5" spans="1:11" x14ac:dyDescent="0.25">
      <c r="D5" s="6"/>
      <c r="E5" s="6" t="e">
        <f>F5/D5</f>
        <v>#DIV/0!</v>
      </c>
      <c r="F5" s="6"/>
    </row>
    <row r="6" spans="1:11" x14ac:dyDescent="0.25">
      <c r="E6" t="s">
        <v>23</v>
      </c>
      <c r="F6" s="9" t="s">
        <v>29</v>
      </c>
    </row>
    <row r="7" spans="1:11" ht="31.5" x14ac:dyDescent="0.25">
      <c r="A7" s="21" t="s">
        <v>15</v>
      </c>
      <c r="B7" s="22" t="s">
        <v>25</v>
      </c>
      <c r="C7" s="25" t="s">
        <v>30</v>
      </c>
      <c r="D7" s="25" t="s">
        <v>31</v>
      </c>
      <c r="E7" s="23" t="s">
        <v>11</v>
      </c>
      <c r="F7" s="24" t="s">
        <v>12</v>
      </c>
    </row>
    <row r="8" spans="1:11" x14ac:dyDescent="0.25">
      <c r="A8" s="14">
        <v>1</v>
      </c>
      <c r="B8" s="15">
        <v>0</v>
      </c>
      <c r="C8" s="16">
        <f>$D$3*SIN(B8*$E$3*2*PI())</f>
        <v>0</v>
      </c>
      <c r="D8" t="s">
        <v>13</v>
      </c>
      <c r="E8" s="16">
        <v>0</v>
      </c>
      <c r="F8" s="17">
        <f t="shared" ref="F8" si="0">IMABS(D8)/(($F$5/2)+1)</f>
        <v>0</v>
      </c>
    </row>
    <row r="9" spans="1:11" x14ac:dyDescent="0.25">
      <c r="A9" s="18">
        <v>2</v>
      </c>
      <c r="B9" s="19">
        <f>A8*$D$5/($F$5-1)</f>
        <v>0</v>
      </c>
      <c r="C9" s="16">
        <f>$D$3*SIN(B9*$E$3*2*PI())</f>
        <v>0</v>
      </c>
      <c r="D9" t="s">
        <v>32</v>
      </c>
      <c r="E9" s="20" t="e">
        <f>A8*($E$5)/(($F$5-1))</f>
        <v>#DIV/0!</v>
      </c>
      <c r="F9" s="17">
        <f>IMABS(D9)/(($F$5/2)+1)</f>
        <v>0.15899882017197711</v>
      </c>
    </row>
    <row r="21" spans="8:8" x14ac:dyDescent="0.25">
      <c r="H21" s="2"/>
    </row>
    <row r="22" spans="8:8" x14ac:dyDescent="0.25">
      <c r="H22" s="2"/>
    </row>
    <row r="24" spans="8:8" x14ac:dyDescent="0.25">
      <c r="H24" s="2"/>
    </row>
    <row r="25" spans="8:8" x14ac:dyDescent="0.25">
      <c r="H25" t="s">
        <v>24</v>
      </c>
    </row>
    <row r="44" spans="8:9" ht="18.75" x14ac:dyDescent="0.3">
      <c r="H44" s="12">
        <v>1461568</v>
      </c>
      <c r="I44">
        <f>H44-1634380</f>
        <v>-172812</v>
      </c>
    </row>
    <row r="45" spans="8:9" ht="18.75" x14ac:dyDescent="0.3">
      <c r="H45" s="12">
        <v>1287911</v>
      </c>
      <c r="I45">
        <f t="shared" ref="I45:I108" si="1">H45-1634380</f>
        <v>-346469</v>
      </c>
    </row>
    <row r="46" spans="8:9" ht="18.75" x14ac:dyDescent="0.3">
      <c r="H46" s="12">
        <v>797740</v>
      </c>
      <c r="I46">
        <f t="shared" si="1"/>
        <v>-836640</v>
      </c>
    </row>
    <row r="47" spans="8:9" ht="18.75" x14ac:dyDescent="0.3">
      <c r="H47" s="12">
        <v>604575</v>
      </c>
      <c r="I47">
        <f t="shared" si="1"/>
        <v>-1029805</v>
      </c>
    </row>
    <row r="48" spans="8:9" ht="18.75" x14ac:dyDescent="0.3">
      <c r="H48" s="12">
        <v>2052508</v>
      </c>
      <c r="I48">
        <f t="shared" si="1"/>
        <v>418128</v>
      </c>
    </row>
    <row r="49" spans="8:9" ht="18.75" x14ac:dyDescent="0.3">
      <c r="H49" s="12">
        <v>1091469</v>
      </c>
      <c r="I49">
        <f t="shared" si="1"/>
        <v>-542911</v>
      </c>
    </row>
    <row r="50" spans="8:9" ht="18.75" x14ac:dyDescent="0.3">
      <c r="H50" s="12">
        <v>1458449</v>
      </c>
      <c r="I50">
        <f t="shared" si="1"/>
        <v>-175931</v>
      </c>
    </row>
    <row r="51" spans="8:9" ht="18.75" x14ac:dyDescent="0.3">
      <c r="H51" s="12">
        <v>913045</v>
      </c>
      <c r="I51">
        <f t="shared" si="1"/>
        <v>-721335</v>
      </c>
    </row>
    <row r="52" spans="8:9" ht="18.75" x14ac:dyDescent="0.3">
      <c r="H52" s="12">
        <v>974100</v>
      </c>
      <c r="I52">
        <f t="shared" si="1"/>
        <v>-660280</v>
      </c>
    </row>
    <row r="53" spans="8:9" ht="18.75" x14ac:dyDescent="0.3">
      <c r="H53" s="12">
        <v>703208</v>
      </c>
      <c r="I53">
        <f t="shared" si="1"/>
        <v>-931172</v>
      </c>
    </row>
    <row r="54" spans="8:9" ht="18.75" x14ac:dyDescent="0.3">
      <c r="H54" s="12">
        <v>1750338</v>
      </c>
      <c r="I54">
        <f t="shared" si="1"/>
        <v>115958</v>
      </c>
    </row>
    <row r="55" spans="8:9" ht="18.75" x14ac:dyDescent="0.3">
      <c r="H55" s="12">
        <v>1914843</v>
      </c>
      <c r="I55">
        <f t="shared" si="1"/>
        <v>280463</v>
      </c>
    </row>
    <row r="56" spans="8:9" ht="18.75" x14ac:dyDescent="0.3">
      <c r="H56" s="12">
        <v>491916</v>
      </c>
      <c r="I56">
        <f t="shared" si="1"/>
        <v>-1142464</v>
      </c>
    </row>
    <row r="57" spans="8:9" ht="18.75" x14ac:dyDescent="0.3">
      <c r="H57" s="12">
        <v>2064558</v>
      </c>
      <c r="I57">
        <f t="shared" si="1"/>
        <v>430178</v>
      </c>
    </row>
    <row r="58" spans="8:9" ht="18.75" x14ac:dyDescent="0.3">
      <c r="H58" s="12">
        <v>2856969</v>
      </c>
      <c r="I58">
        <f t="shared" si="1"/>
        <v>1222589</v>
      </c>
    </row>
    <row r="59" spans="8:9" ht="18.75" x14ac:dyDescent="0.3">
      <c r="H59" s="12">
        <v>781857</v>
      </c>
      <c r="I59">
        <f t="shared" si="1"/>
        <v>-852523</v>
      </c>
    </row>
    <row r="60" spans="8:9" ht="18.75" x14ac:dyDescent="0.3">
      <c r="H60" s="12">
        <v>633954</v>
      </c>
      <c r="I60">
        <f t="shared" si="1"/>
        <v>-1000426</v>
      </c>
    </row>
    <row r="61" spans="8:9" ht="18.75" x14ac:dyDescent="0.3">
      <c r="H61" s="12">
        <v>3107292</v>
      </c>
      <c r="I61">
        <f t="shared" si="1"/>
        <v>1472912</v>
      </c>
    </row>
    <row r="62" spans="8:9" ht="18.75" x14ac:dyDescent="0.3">
      <c r="H62" s="12">
        <v>24661</v>
      </c>
      <c r="I62">
        <f t="shared" si="1"/>
        <v>-1609719</v>
      </c>
    </row>
    <row r="63" spans="8:9" ht="18.75" x14ac:dyDescent="0.3">
      <c r="H63" s="12">
        <v>223754</v>
      </c>
      <c r="I63">
        <f t="shared" si="1"/>
        <v>-1410626</v>
      </c>
    </row>
    <row r="64" spans="8:9" ht="18.75" x14ac:dyDescent="0.3">
      <c r="H64" s="12">
        <v>1399363</v>
      </c>
      <c r="I64">
        <f t="shared" si="1"/>
        <v>-235017</v>
      </c>
    </row>
    <row r="65" spans="8:9" ht="18.75" x14ac:dyDescent="0.3">
      <c r="H65" s="12">
        <v>1028571</v>
      </c>
      <c r="I65">
        <f t="shared" si="1"/>
        <v>-605809</v>
      </c>
    </row>
    <row r="66" spans="8:9" ht="18.75" x14ac:dyDescent="0.3">
      <c r="H66" s="12">
        <v>1882305</v>
      </c>
      <c r="I66">
        <f t="shared" si="1"/>
        <v>247925</v>
      </c>
    </row>
    <row r="67" spans="8:9" ht="18.75" x14ac:dyDescent="0.3">
      <c r="H67" s="12">
        <v>2179060</v>
      </c>
      <c r="I67">
        <f t="shared" si="1"/>
        <v>544680</v>
      </c>
    </row>
    <row r="68" spans="8:9" ht="18.75" x14ac:dyDescent="0.3">
      <c r="H68" s="12">
        <v>2483739</v>
      </c>
      <c r="I68">
        <f t="shared" si="1"/>
        <v>849359</v>
      </c>
    </row>
    <row r="69" spans="8:9" ht="18.75" x14ac:dyDescent="0.3">
      <c r="H69" s="12">
        <v>2265926</v>
      </c>
      <c r="I69">
        <f t="shared" si="1"/>
        <v>631546</v>
      </c>
    </row>
    <row r="70" spans="8:9" ht="18.75" x14ac:dyDescent="0.3">
      <c r="H70" s="12">
        <v>1192120</v>
      </c>
      <c r="I70">
        <f t="shared" si="1"/>
        <v>-442260</v>
      </c>
    </row>
    <row r="71" spans="8:9" ht="18.75" x14ac:dyDescent="0.3">
      <c r="H71" s="12">
        <v>3029119</v>
      </c>
      <c r="I71">
        <f t="shared" si="1"/>
        <v>1394739</v>
      </c>
    </row>
    <row r="72" spans="8:9" ht="18.75" x14ac:dyDescent="0.3">
      <c r="H72" s="12">
        <v>512497</v>
      </c>
      <c r="I72">
        <f t="shared" si="1"/>
        <v>-1121883</v>
      </c>
    </row>
    <row r="73" spans="8:9" ht="18.75" x14ac:dyDescent="0.3">
      <c r="H73" s="12">
        <v>854259</v>
      </c>
      <c r="I73">
        <f t="shared" si="1"/>
        <v>-780121</v>
      </c>
    </row>
    <row r="74" spans="8:9" ht="18.75" x14ac:dyDescent="0.3">
      <c r="H74" s="12">
        <v>805077</v>
      </c>
      <c r="I74">
        <f t="shared" si="1"/>
        <v>-829303</v>
      </c>
    </row>
    <row r="75" spans="8:9" ht="18.75" x14ac:dyDescent="0.3">
      <c r="H75" s="12">
        <v>560760</v>
      </c>
      <c r="I75">
        <f t="shared" si="1"/>
        <v>-1073620</v>
      </c>
    </row>
    <row r="76" spans="8:9" ht="18.75" x14ac:dyDescent="0.3">
      <c r="H76" s="12">
        <v>559239</v>
      </c>
      <c r="I76">
        <f t="shared" si="1"/>
        <v>-1075141</v>
      </c>
    </row>
    <row r="77" spans="8:9" ht="18.75" x14ac:dyDescent="0.3">
      <c r="H77" s="12">
        <v>3079795</v>
      </c>
      <c r="I77">
        <f t="shared" si="1"/>
        <v>1445415</v>
      </c>
    </row>
    <row r="78" spans="8:9" ht="18.75" x14ac:dyDescent="0.3">
      <c r="H78" s="12">
        <v>2335098</v>
      </c>
      <c r="I78">
        <f t="shared" si="1"/>
        <v>700718</v>
      </c>
    </row>
    <row r="79" spans="8:9" ht="18.75" x14ac:dyDescent="0.3">
      <c r="H79" s="12">
        <v>1888265</v>
      </c>
      <c r="I79">
        <f t="shared" si="1"/>
        <v>253885</v>
      </c>
    </row>
    <row r="80" spans="8:9" ht="18.75" x14ac:dyDescent="0.3">
      <c r="H80" s="12">
        <v>1933569</v>
      </c>
      <c r="I80">
        <f t="shared" si="1"/>
        <v>299189</v>
      </c>
    </row>
    <row r="81" spans="8:9" ht="18.75" x14ac:dyDescent="0.3">
      <c r="H81" s="12">
        <v>3213442</v>
      </c>
      <c r="I81">
        <f t="shared" si="1"/>
        <v>1579062</v>
      </c>
    </row>
    <row r="82" spans="8:9" ht="18.75" x14ac:dyDescent="0.3">
      <c r="H82" s="12">
        <v>2735235</v>
      </c>
      <c r="I82">
        <f t="shared" si="1"/>
        <v>1100855</v>
      </c>
    </row>
    <row r="83" spans="8:9" ht="18.75" x14ac:dyDescent="0.3">
      <c r="H83" s="12">
        <v>2488274</v>
      </c>
      <c r="I83">
        <f t="shared" si="1"/>
        <v>853894</v>
      </c>
    </row>
    <row r="84" spans="8:9" ht="18.75" x14ac:dyDescent="0.3">
      <c r="H84" s="12">
        <v>3149579</v>
      </c>
      <c r="I84">
        <f t="shared" si="1"/>
        <v>1515199</v>
      </c>
    </row>
    <row r="85" spans="8:9" ht="18.75" x14ac:dyDescent="0.3">
      <c r="H85" s="12">
        <v>1484474</v>
      </c>
      <c r="I85">
        <f t="shared" si="1"/>
        <v>-149906</v>
      </c>
    </row>
    <row r="86" spans="8:9" ht="18.75" x14ac:dyDescent="0.3">
      <c r="H86" s="12">
        <v>628515</v>
      </c>
      <c r="I86">
        <f t="shared" si="1"/>
        <v>-1005865</v>
      </c>
    </row>
    <row r="87" spans="8:9" ht="18.75" x14ac:dyDescent="0.3">
      <c r="H87" s="12">
        <v>3045999</v>
      </c>
      <c r="I87">
        <f t="shared" si="1"/>
        <v>1411619</v>
      </c>
    </row>
    <row r="88" spans="8:9" ht="18.75" x14ac:dyDescent="0.3">
      <c r="H88" s="12">
        <v>1470181</v>
      </c>
      <c r="I88">
        <f t="shared" si="1"/>
        <v>-164199</v>
      </c>
    </row>
    <row r="89" spans="8:9" ht="18.75" x14ac:dyDescent="0.3">
      <c r="H89" s="12">
        <v>2547934</v>
      </c>
      <c r="I89">
        <f t="shared" si="1"/>
        <v>913554</v>
      </c>
    </row>
    <row r="90" spans="8:9" ht="18.75" x14ac:dyDescent="0.3">
      <c r="H90" s="12">
        <v>1598457</v>
      </c>
      <c r="I90">
        <f t="shared" si="1"/>
        <v>-35923</v>
      </c>
    </row>
    <row r="91" spans="8:9" ht="18.75" x14ac:dyDescent="0.3">
      <c r="H91" s="12">
        <v>2445448</v>
      </c>
      <c r="I91">
        <f t="shared" si="1"/>
        <v>811068</v>
      </c>
    </row>
    <row r="92" spans="8:9" ht="18.75" x14ac:dyDescent="0.3">
      <c r="H92" s="12">
        <v>1851053</v>
      </c>
      <c r="I92">
        <f t="shared" si="1"/>
        <v>216673</v>
      </c>
    </row>
    <row r="93" spans="8:9" ht="18.75" x14ac:dyDescent="0.3">
      <c r="H93" s="12">
        <v>1020211</v>
      </c>
      <c r="I93">
        <f t="shared" si="1"/>
        <v>-614169</v>
      </c>
    </row>
    <row r="94" spans="8:9" ht="18.75" x14ac:dyDescent="0.3">
      <c r="H94" s="12">
        <v>1773940</v>
      </c>
      <c r="I94">
        <f t="shared" si="1"/>
        <v>139560</v>
      </c>
    </row>
    <row r="95" spans="8:9" ht="18.75" x14ac:dyDescent="0.3">
      <c r="H95" s="12">
        <v>1462872</v>
      </c>
      <c r="I95">
        <f t="shared" si="1"/>
        <v>-171508</v>
      </c>
    </row>
    <row r="96" spans="8:9" ht="18.75" x14ac:dyDescent="0.3">
      <c r="H96" s="12">
        <v>2412379</v>
      </c>
      <c r="I96">
        <f t="shared" si="1"/>
        <v>777999</v>
      </c>
    </row>
    <row r="97" spans="8:9" ht="18.75" x14ac:dyDescent="0.3">
      <c r="H97" s="12">
        <v>3150781</v>
      </c>
      <c r="I97">
        <f t="shared" si="1"/>
        <v>1516401</v>
      </c>
    </row>
    <row r="98" spans="8:9" ht="18.75" x14ac:dyDescent="0.3">
      <c r="H98" s="12">
        <v>1095571</v>
      </c>
      <c r="I98">
        <f t="shared" si="1"/>
        <v>-538809</v>
      </c>
    </row>
    <row r="99" spans="8:9" ht="18.75" x14ac:dyDescent="0.3">
      <c r="H99" s="13">
        <v>1500683</v>
      </c>
      <c r="I99">
        <f t="shared" si="1"/>
        <v>-133697</v>
      </c>
    </row>
    <row r="100" spans="8:9" ht="18.75" x14ac:dyDescent="0.3">
      <c r="H100" s="13">
        <v>677692</v>
      </c>
      <c r="I100">
        <f t="shared" si="1"/>
        <v>-956688</v>
      </c>
    </row>
    <row r="101" spans="8:9" ht="18.75" x14ac:dyDescent="0.3">
      <c r="H101" s="13">
        <v>2216576</v>
      </c>
      <c r="I101">
        <f t="shared" si="1"/>
        <v>582196</v>
      </c>
    </row>
    <row r="102" spans="8:9" ht="18.75" x14ac:dyDescent="0.3">
      <c r="H102" s="13">
        <v>3193023</v>
      </c>
      <c r="I102">
        <f t="shared" si="1"/>
        <v>1558643</v>
      </c>
    </row>
    <row r="103" spans="8:9" ht="18.75" x14ac:dyDescent="0.3">
      <c r="H103" s="13">
        <v>1938130</v>
      </c>
      <c r="I103">
        <f t="shared" si="1"/>
        <v>303750</v>
      </c>
    </row>
    <row r="104" spans="8:9" ht="18.75" x14ac:dyDescent="0.3">
      <c r="H104" s="13">
        <v>348819</v>
      </c>
      <c r="I104">
        <f t="shared" si="1"/>
        <v>-1285561</v>
      </c>
    </row>
    <row r="105" spans="8:9" ht="18.75" x14ac:dyDescent="0.3">
      <c r="H105" s="13">
        <v>861749</v>
      </c>
      <c r="I105">
        <f t="shared" si="1"/>
        <v>-772631</v>
      </c>
    </row>
    <row r="106" spans="8:9" ht="18.75" x14ac:dyDescent="0.3">
      <c r="H106" s="13">
        <v>1004228</v>
      </c>
      <c r="I106">
        <f t="shared" si="1"/>
        <v>-630152</v>
      </c>
    </row>
    <row r="107" spans="8:9" x14ac:dyDescent="0.25">
      <c r="H107">
        <v>207153</v>
      </c>
      <c r="I107">
        <f t="shared" si="1"/>
        <v>-1427227</v>
      </c>
    </row>
    <row r="108" spans="8:9" ht="18.75" x14ac:dyDescent="0.3">
      <c r="H108" s="13">
        <v>2039138</v>
      </c>
      <c r="I108">
        <f t="shared" si="1"/>
        <v>404758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cro1">
                <anchor moveWithCells="1" sizeWithCells="1">
                  <from>
                    <xdr:col>1</xdr:col>
                    <xdr:colOff>342900</xdr:colOff>
                    <xdr:row>4</xdr:row>
                    <xdr:rowOff>133350</xdr:rowOff>
                  </from>
                  <to>
                    <xdr:col>2</xdr:col>
                    <xdr:colOff>590550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701EC-60FB-431F-A9D2-5C765B19696E}">
  <dimension ref="D2"/>
  <sheetViews>
    <sheetView topLeftCell="B1" workbookViewId="0">
      <selection activeCell="D2" sqref="D2"/>
    </sheetView>
  </sheetViews>
  <sheetFormatPr defaultRowHeight="15" x14ac:dyDescent="0.25"/>
  <sheetData>
    <row r="2" spans="4:4" x14ac:dyDescent="0.25">
      <c r="D2" t="s">
        <v>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grafico_combinado_exemplo</vt:lpstr>
      <vt:lpstr>grafico_combinado_e</vt:lpstr>
      <vt:lpstr>pizza_exemplo</vt:lpstr>
      <vt:lpstr>transformada_exemplo (2)</vt:lpstr>
      <vt:lpstr>transformada_exercicio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2018-05-01T17:46:52Z</dcterms:created>
  <dcterms:modified xsi:type="dcterms:W3CDTF">2018-07-08T11:45:05Z</dcterms:modified>
</cp:coreProperties>
</file>